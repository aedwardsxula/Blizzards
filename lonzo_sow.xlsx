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25"/>
  <workbookPr showInkAnnotation="0" autoCompressPictures="0"/>
  <mc:AlternateContent xmlns:mc="http://schemas.openxmlformats.org/markup-compatibility/2006">
    <mc:Choice Requires="x15">
      <x15ac:absPath xmlns:x15ac="http://schemas.microsoft.com/office/spreadsheetml/2010/11/ac" url="https://xula0-my.sharepoint.com/personal/lhamilt3_xula_edu/Documents/"/>
    </mc:Choice>
  </mc:AlternateContent>
  <xr:revisionPtr revIDLastSave="0" documentId="8_{B595BBE4-4A65-47F9-9630-46938DEC2461}" xr6:coauthVersionLast="47" xr6:coauthVersionMax="47" xr10:uidLastSave="{00000000-0000-0000-0000-000000000000}"/>
  <bookViews>
    <workbookView xWindow="0" yWindow="620" windowWidth="28800" windowHeight="16420" tabRatio="500" xr2:uid="{00000000-000D-0000-FFFF-FFFF00000000}"/>
  </bookViews>
  <sheets>
    <sheet name="Blizzards" sheetId="10" r:id="rId1"/>
    <sheet name="-Disclaimer-" sheetId="2" r:id="rId2"/>
  </sheets>
  <definedNames>
    <definedName name="_xlnm.Print_Area" localSheetId="0">Blizzards!$B$1:$I$88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24" i="10" l="1"/>
  <c r="H9" i="10"/>
  <c r="H20" i="10"/>
  <c r="H21" i="10"/>
  <c r="H23" i="10"/>
  <c r="H57" i="10"/>
  <c r="H58" i="10"/>
  <c r="H60" i="10"/>
  <c r="H71" i="10"/>
  <c r="H72" i="10"/>
  <c r="H74" i="10"/>
  <c r="H85" i="10"/>
  <c r="H86" i="10"/>
  <c r="G73" i="10" l="1"/>
  <c r="F73" i="10"/>
  <c r="H73" i="10" s="1"/>
  <c r="G22" i="10"/>
  <c r="F22" i="10"/>
  <c r="F59" i="10"/>
  <c r="G59" i="10"/>
  <c r="G8" i="10"/>
  <c r="F8" i="10"/>
  <c r="H5" i="10"/>
  <c r="H22" i="10" l="1"/>
  <c r="H59" i="10"/>
  <c r="H8" i="10"/>
</calcChain>
</file>

<file path=xl/sharedStrings.xml><?xml version="1.0" encoding="utf-8"?>
<sst xmlns="http://schemas.openxmlformats.org/spreadsheetml/2006/main" count="168" uniqueCount="108">
  <si>
    <t>Blizzards Statement of Work</t>
  </si>
  <si>
    <t>Project Title</t>
  </si>
  <si>
    <t>Start Date</t>
  </si>
  <si>
    <t>Study Buddies</t>
  </si>
  <si>
    <t>Project Duration</t>
  </si>
  <si>
    <t>Project Development Team</t>
  </si>
  <si>
    <t>End Date</t>
  </si>
  <si>
    <t>in days</t>
  </si>
  <si>
    <t>Alina (Designer), Lonzo (Tester), Robin (Lead), Samuel (SWE)</t>
  </si>
  <si>
    <t>User Story #</t>
  </si>
  <si>
    <t>Status</t>
  </si>
  <si>
    <t>Use Cases</t>
  </si>
  <si>
    <r>
      <t>Duration (</t>
    </r>
    <r>
      <rPr>
        <b/>
        <sz val="10"/>
        <color rgb="FF001033"/>
        <rFont val="Century Gothic"/>
        <family val="1"/>
      </rPr>
      <t>in days)</t>
    </r>
  </si>
  <si>
    <t>Comments</t>
  </si>
  <si>
    <t>Alina</t>
  </si>
  <si>
    <t>Not Started</t>
  </si>
  <si>
    <r>
      <rPr>
        <sz val="11"/>
        <color rgb="FFFF0000"/>
        <rFont val="Century Gothic"/>
        <family val="1"/>
      </rPr>
      <t>#</t>
    </r>
    <r>
      <rPr>
        <sz val="11"/>
        <color theme="1"/>
        <rFont val="Century Gothic"/>
        <family val="1"/>
      </rPr>
      <t xml:space="preserve"> Create profile display, schedule input, and schedule display designs</t>
    </r>
  </si>
  <si>
    <t>On Hold</t>
  </si>
  <si>
    <t>SHA 1601da9, 4ef802, 3d45638</t>
  </si>
  <si>
    <t>What is this use case's user story number?  If no user story, make sure you add this as a user story in our final sprint.</t>
  </si>
  <si>
    <t>In Progress</t>
  </si>
  <si>
    <t>Complete</t>
  </si>
  <si>
    <t>Nov 26th: 6 commits, +91, -10</t>
  </si>
  <si>
    <t xml:space="preserve">Evaluate Dr. Edwards via Class Climate </t>
  </si>
  <si>
    <t>Evaluate team using Brightspace survey</t>
  </si>
  <si>
    <t>Lonzo</t>
  </si>
  <si>
    <r>
      <rPr>
        <sz val="11"/>
        <color rgb="FFFF0000"/>
        <rFont val="Century Gothic"/>
        <family val="1"/>
      </rPr>
      <t>#</t>
    </r>
    <r>
      <rPr>
        <sz val="11"/>
        <color theme="1"/>
        <rFont val="Century Gothic"/>
        <family val="1"/>
      </rPr>
      <t xml:space="preserve"> 43-48 Add unit tests for Profile, Schedule, Session, Flashcards, etc.</t>
    </r>
  </si>
  <si>
    <t>SHA 45ab501, fe680ac, d8c0295</t>
  </si>
  <si>
    <t>Add standup_meetings.txt File</t>
  </si>
  <si>
    <t>2c9b719</t>
  </si>
  <si>
    <t>This was done before we had our first user story.</t>
  </si>
  <si>
    <r>
      <rPr>
        <sz val="11"/>
        <color rgb="FFFF0000"/>
        <rFont val="Century Gothic"/>
        <family val="1"/>
      </rPr>
      <t>#</t>
    </r>
    <r>
      <rPr>
        <sz val="11"/>
        <color theme="1"/>
        <rFont val="Century Gothic"/>
        <family val="1"/>
      </rPr>
      <t xml:space="preserve"> 62 Create a remove_event method</t>
    </r>
  </si>
  <si>
    <t>476de6c</t>
  </si>
  <si>
    <r>
      <rPr>
        <sz val="11"/>
        <color rgb="FFFF0000"/>
        <rFont val="Century Gothic"/>
        <family val="1"/>
      </rPr>
      <t>#</t>
    </r>
    <r>
      <rPr>
        <sz val="11"/>
        <color theme="1"/>
        <rFont val="Century Gothic"/>
        <family val="1"/>
      </rPr>
      <t xml:space="preserve"> 62 Create an output_events method </t>
    </r>
  </si>
  <si>
    <t>d774f0c</t>
  </si>
  <si>
    <t>Create two __init__.py files</t>
  </si>
  <si>
    <t>36e78ff</t>
  </si>
  <si>
    <t>This was done for testing reasons</t>
  </si>
  <si>
    <t>Update imports in test_study_buddies.py , invite_logic.py, auto_cancel.py, main.py, test_user_profile.py, test_event.py, file</t>
  </si>
  <si>
    <t>163174a, d7b3f9b, 4e24579, 0caaac7, e06a311, c6b7d7d</t>
  </si>
  <si>
    <t>This was done to fix our team's coding structure</t>
  </si>
  <si>
    <t>Ran tests on test_study_buddies.py file</t>
  </si>
  <si>
    <t>4d316c1</t>
  </si>
  <si>
    <t>Remove use cases from event.py</t>
  </si>
  <si>
    <t>240e85d</t>
  </si>
  <si>
    <r>
      <rPr>
        <sz val="11"/>
        <color rgb="FFFF0000"/>
        <rFont val="Century Gothic"/>
        <family val="1"/>
      </rPr>
      <t>#</t>
    </r>
    <r>
      <rPr>
        <sz val="11"/>
        <color theme="1"/>
        <rFont val="Century Gothic"/>
        <family val="1"/>
      </rPr>
      <t>62 Add remove_event method from User Story #62 into user_profile.py file</t>
    </r>
  </si>
  <si>
    <t>7326a0e</t>
  </si>
  <si>
    <r>
      <rPr>
        <sz val="11"/>
        <color rgb="FFFF0000"/>
        <rFont val="Century Gothic"/>
        <family val="1"/>
      </rPr>
      <t>#</t>
    </r>
    <r>
      <rPr>
        <sz val="11"/>
        <color theme="1"/>
        <rFont val="Century Gothic"/>
        <family val="1"/>
      </rPr>
      <t>62 Add output_events method from user story #62 to user_profile.py file</t>
    </r>
  </si>
  <si>
    <t>9f7e340</t>
  </si>
  <si>
    <r>
      <rPr>
        <sz val="11"/>
        <color rgb="FFFF0000"/>
        <rFont val="Century Gothic"/>
        <family val="1"/>
      </rPr>
      <t>#</t>
    </r>
    <r>
      <rPr>
        <sz val="11"/>
        <color theme="1"/>
        <rFont val="Century Gothic"/>
        <family val="1"/>
      </rPr>
      <t>62 Add test_remove_event method in test_user_profile.py file</t>
    </r>
  </si>
  <si>
    <t>2671261092c23eb9fcc724b87345697f502f8ba7</t>
  </si>
  <si>
    <r>
      <rPr>
        <sz val="11"/>
        <color rgb="FFFF0000"/>
        <rFont val="Century Gothic"/>
        <family val="1"/>
      </rPr>
      <t>#</t>
    </r>
    <r>
      <rPr>
        <sz val="11"/>
        <color theme="1"/>
        <rFont val="Century Gothic"/>
        <family val="1"/>
      </rPr>
      <t>62 Add test_output_events method to test_user_profile.py file</t>
    </r>
  </si>
  <si>
    <t>28aaca0</t>
  </si>
  <si>
    <r>
      <rPr>
        <sz val="11"/>
        <color rgb="FFFF0000"/>
        <rFont val="Century Gothic"/>
        <family val="1"/>
      </rPr>
      <t>#</t>
    </r>
    <r>
      <rPr>
        <sz val="11"/>
        <color theme="1"/>
        <rFont val="Century Gothic"/>
        <family val="1"/>
      </rPr>
      <t>60 Create a remove method</t>
    </r>
  </si>
  <si>
    <t>420dc3b</t>
  </si>
  <si>
    <r>
      <rPr>
        <sz val="11"/>
        <color rgb="FFFF0000"/>
        <rFont val="Century Gothic"/>
        <family val="1"/>
      </rPr>
      <t>#</t>
    </r>
    <r>
      <rPr>
        <sz val="11"/>
        <color theme="1"/>
        <rFont val="Century Gothic"/>
        <family val="1"/>
      </rPr>
      <t>60 Create two methods that help each other check for duplicate datetimes</t>
    </r>
  </si>
  <si>
    <t>0c0d40f</t>
  </si>
  <si>
    <r>
      <rPr>
        <sz val="11"/>
        <color rgb="FFFF0000"/>
        <rFont val="Century Gothic"/>
        <family val="1"/>
      </rPr>
      <t>#</t>
    </r>
    <r>
      <rPr>
        <sz val="11"/>
        <color theme="1"/>
        <rFont val="Century Gothic"/>
        <family val="1"/>
      </rPr>
      <t>60  Test Study Session Use Cases</t>
    </r>
  </si>
  <si>
    <t>f9bcd07</t>
  </si>
  <si>
    <r>
      <rPr>
        <sz val="11"/>
        <color rgb="FFFF0000"/>
        <rFont val="Century Gothic"/>
        <family val="1"/>
      </rPr>
      <t>#</t>
    </r>
    <r>
      <rPr>
        <sz val="11"/>
        <color theme="1"/>
        <rFont val="Century Gothic"/>
        <family val="1"/>
      </rPr>
      <t>59 Add User Story #59 Uses Cases to user_profile.py</t>
    </r>
  </si>
  <si>
    <t>2a6d62d</t>
  </si>
  <si>
    <r>
      <rPr>
        <sz val="11"/>
        <color rgb="FFFF0000"/>
        <rFont val="Century Gothic"/>
        <family val="1"/>
      </rPr>
      <t>#</t>
    </r>
    <r>
      <rPr>
        <sz val="11"/>
        <color theme="1"/>
        <rFont val="Century Gothic"/>
        <family val="1"/>
      </rPr>
      <t>59 Test User Story #59 Use Cases</t>
    </r>
  </si>
  <si>
    <t>9d5b2d7</t>
  </si>
  <si>
    <t>Remove Blizzards Modules from each .py file</t>
  </si>
  <si>
    <t>62cd261</t>
  </si>
  <si>
    <r>
      <rPr>
        <sz val="11"/>
        <color rgb="FFFF0000"/>
        <rFont val="Century Gothic"/>
        <family val="1"/>
      </rPr>
      <t>#</t>
    </r>
    <r>
      <rPr>
        <sz val="11"/>
        <color theme="1"/>
        <rFont val="Century Gothic"/>
        <family val="1"/>
      </rPr>
      <t>75  Create a Sort Study Sessions function from earliest to latest</t>
    </r>
  </si>
  <si>
    <t>0d9b462</t>
  </si>
  <si>
    <r>
      <rPr>
        <sz val="11"/>
        <color rgb="FFFF0000"/>
        <rFont val="Century Gothic"/>
        <family val="1"/>
      </rPr>
      <t>#</t>
    </r>
    <r>
      <rPr>
        <sz val="11"/>
        <color theme="1"/>
        <rFont val="Century Gothic"/>
        <family val="1"/>
      </rPr>
      <t>75  Create a function that filters only upcoming sessions</t>
    </r>
  </si>
  <si>
    <t>6bc4493</t>
  </si>
  <si>
    <r>
      <rPr>
        <sz val="11"/>
        <color rgb="FFFF0000"/>
        <rFont val="Century Gothic"/>
        <family val="1"/>
      </rPr>
      <t>#</t>
    </r>
    <r>
      <rPr>
        <sz val="11"/>
        <color theme="1"/>
        <rFont val="Century Gothic"/>
        <family val="1"/>
      </rPr>
      <t>75 Test sort_study_sessions function</t>
    </r>
  </si>
  <si>
    <t>d3f41cc</t>
  </si>
  <si>
    <r>
      <rPr>
        <sz val="11"/>
        <color rgb="FFFF0000"/>
        <rFont val="Century Gothic"/>
        <family val="1"/>
      </rPr>
      <t>#</t>
    </r>
    <r>
      <rPr>
        <sz val="11"/>
        <color theme="1"/>
        <rFont val="Century Gothic"/>
        <family val="1"/>
      </rPr>
      <t>75 Test upcoming sessions function</t>
    </r>
  </si>
  <si>
    <t>f9519ad</t>
  </si>
  <si>
    <r>
      <rPr>
        <sz val="11"/>
        <color rgb="FFFF0000"/>
        <rFont val="Century Gothic"/>
        <family val="1"/>
      </rPr>
      <t>#</t>
    </r>
    <r>
      <rPr>
        <sz val="11"/>
        <color theme="1"/>
        <rFont val="Century Gothic"/>
        <family val="1"/>
      </rPr>
      <t>75 Test for an empty schedule</t>
    </r>
  </si>
  <si>
    <t>46a6746</t>
  </si>
  <si>
    <r>
      <rPr>
        <sz val="11"/>
        <color rgb="FFFF0000"/>
        <rFont val="Century Gothic"/>
        <family val="1"/>
      </rPr>
      <t>#</t>
    </r>
    <r>
      <rPr>
        <sz val="11"/>
        <color theme="1"/>
        <rFont val="Century Gothic"/>
        <family val="1"/>
      </rPr>
      <t>76 Create Count Student Availability by Hour function in user_profile.py</t>
    </r>
  </si>
  <si>
    <t>89379b9</t>
  </si>
  <si>
    <r>
      <rPr>
        <sz val="11"/>
        <color rgb="FFFF0000"/>
        <rFont val="Century Gothic"/>
        <family val="1"/>
      </rPr>
      <t>#</t>
    </r>
    <r>
      <rPr>
        <sz val="11"/>
        <color theme="1"/>
        <rFont val="Century Gothic"/>
        <family val="1"/>
      </rPr>
      <t>76 Create a function that returns the hour with the highest availability</t>
    </r>
  </si>
  <si>
    <t>aa3d348</t>
  </si>
  <si>
    <r>
      <rPr>
        <sz val="11"/>
        <color rgb="FFFF0000"/>
        <rFont val="Century Gothic"/>
        <family val="1"/>
      </rPr>
      <t>#</t>
    </r>
    <r>
      <rPr>
        <sz val="11"/>
        <color theme="1"/>
        <rFont val="Century Gothic"/>
        <family val="1"/>
      </rPr>
      <t>76 Test count_availability_by_hour method</t>
    </r>
  </si>
  <si>
    <t>ee2e7f8</t>
  </si>
  <si>
    <r>
      <rPr>
        <sz val="11"/>
        <color rgb="FFFF0000"/>
        <rFont val="Century Gothic"/>
        <family val="1"/>
      </rPr>
      <t>#</t>
    </r>
    <r>
      <rPr>
        <sz val="11"/>
        <color theme="1"/>
        <rFont val="Century Gothic"/>
        <family val="1"/>
      </rPr>
      <t>76 Test best_hour method</t>
    </r>
  </si>
  <si>
    <t>18707a1</t>
  </si>
  <si>
    <t>Nov 26th: 29 commits, +483, -163</t>
  </si>
  <si>
    <r>
      <rPr>
        <sz val="11"/>
        <color rgb="FFFF0000"/>
        <rFont val="Century Gothic"/>
        <family val="1"/>
      </rPr>
      <t>#</t>
    </r>
    <r>
      <rPr>
        <sz val="11"/>
        <color theme="1"/>
        <rFont val="Century Gothic"/>
        <family val="1"/>
      </rPr>
      <t>76 Test if there is not a best hour</t>
    </r>
  </si>
  <si>
    <t>462c5cb</t>
  </si>
  <si>
    <r>
      <rPr>
        <sz val="11"/>
        <color rgb="FFFF0000"/>
        <rFont val="Century Gothic"/>
        <family val="1"/>
      </rPr>
      <t>#</t>
    </r>
    <r>
      <rPr>
        <sz val="11"/>
        <color theme="1"/>
        <rFont val="Century Gothic"/>
        <family val="1"/>
      </rPr>
      <t>77 Create a function that checks for availability conflicts</t>
    </r>
  </si>
  <si>
    <t>e4a273b</t>
  </si>
  <si>
    <r>
      <rPr>
        <sz val="11"/>
        <color rgb="FFFF0000"/>
        <rFont val="Century Gothic"/>
        <family val="1"/>
      </rPr>
      <t>#</t>
    </r>
    <r>
      <rPr>
        <sz val="11"/>
        <color theme="1"/>
        <rFont val="Century Gothic"/>
        <family val="1"/>
      </rPr>
      <t>77 Create a function that adds a study session only if it does not conflict with another</t>
    </r>
  </si>
  <si>
    <t>dca2cbd</t>
  </si>
  <si>
    <r>
      <rPr>
        <sz val="11"/>
        <color rgb="FFFF0000"/>
        <rFont val="Century Gothic"/>
        <family val="1"/>
      </rPr>
      <t>#</t>
    </r>
    <r>
      <rPr>
        <sz val="11"/>
        <color theme="1"/>
        <rFont val="Century Gothic"/>
        <family val="1"/>
      </rPr>
      <t>77 Test that all conflict types are identified</t>
    </r>
  </si>
  <si>
    <t>20508d0</t>
  </si>
  <si>
    <r>
      <rPr>
        <sz val="11"/>
        <color rgb="FFFF0000"/>
        <rFont val="Century Gothic"/>
        <family val="1"/>
      </rPr>
      <t>#</t>
    </r>
    <r>
      <rPr>
        <sz val="11"/>
        <color theme="1"/>
        <rFont val="Century Gothic"/>
        <family val="1"/>
      </rPr>
      <t>77 Test that a study session is added if there are no conflicts</t>
    </r>
  </si>
  <si>
    <t>54341123a32360bbb890d11ad4da1235de83585b</t>
  </si>
  <si>
    <r>
      <rPr>
        <sz val="11"/>
        <color rgb="FFFF0000"/>
        <rFont val="Century Gothic"/>
        <family val="1"/>
      </rPr>
      <t>#</t>
    </r>
    <r>
      <rPr>
        <sz val="11"/>
        <color theme="1"/>
        <rFont val="Century Gothic"/>
        <family val="1"/>
      </rPr>
      <t>77 Test that a study session is not added to the schedule if it conflicts with another</t>
    </r>
  </si>
  <si>
    <t>99abe78</t>
  </si>
  <si>
    <t>Add important imports to user_profile.py &amp; test_user_profile.py</t>
  </si>
  <si>
    <t>2941718cd258198eb10feeecf3354565bbceb5b8</t>
  </si>
  <si>
    <t>Robin</t>
  </si>
  <si>
    <r>
      <rPr>
        <sz val="11"/>
        <color rgb="FFFF0000"/>
        <rFont val="Century Gothic"/>
        <family val="1"/>
      </rPr>
      <t>#</t>
    </r>
    <r>
      <rPr>
        <sz val="11"/>
        <color theme="1"/>
        <rFont val="Century Gothic"/>
        <family val="1"/>
      </rPr>
      <t xml:space="preserve"> Update README with 6 numbered, prioritized projects</t>
    </r>
  </si>
  <si>
    <t>SHA 0228979, 837cc5e</t>
  </si>
  <si>
    <t>Nov 26th: 36 commits, +337, -250</t>
  </si>
  <si>
    <t>Samuel</t>
  </si>
  <si>
    <r>
      <rPr>
        <sz val="11"/>
        <color rgb="FFFF0000"/>
        <rFont val="Century Gothic"/>
        <family val="1"/>
      </rPr>
      <t>#</t>
    </r>
    <r>
      <rPr>
        <sz val="11"/>
        <color theme="1"/>
        <rFont val="Century Gothic"/>
        <family val="1"/>
      </rPr>
      <t xml:space="preserve"> create AutoCancelJob, FlashcardGenerator, InviteLogic, Profile, StudySession classes</t>
    </r>
  </si>
  <si>
    <t>SHA d926e23, 10b580f</t>
  </si>
  <si>
    <t>Nov 26th: 30 commits, +461, -122</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</si>
  <si>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</si>
  <si>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https://www.smartsheet.com/top-project-management-excel-templates?srsltid=AfmBOorM8KTqo0GkEazFKhVFp3ozfOh-BifeI1KKxQxM0WpR5p08gBRL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</si>
</sst>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0">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u/>
      <sz val="10"/>
      <color rgb="FF000000"/>
      <name val="Century Gothic"/>
      <family val="1"/>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1">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0">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19" fillId="13" borderId="10" xfId="0" applyFont="1" applyFill="1" applyBorder="1" applyAlignment="1">
      <alignment horizontal="left" vertical="center" wrapText="1" indent="1"/>
    </xf>
  </cellXfs>
  <cellStyles count="6">
    <cellStyle name="Followed Hyperlink" xfId="4" builtinId="9" hidden="1"/>
    <cellStyle name="Followed Hyperlink" xfId="3" builtinId="9" hidden="1"/>
    <cellStyle name="Followed Hyperlink" xfId="2"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A2D072"/>
      <color rgb="FF001033"/>
      <color rgb="FF007134"/>
      <color rgb="FFB3E481"/>
      <color rgb="FFD1EEFF"/>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Blizzards!$F$7</c:f>
              <c:strCache>
                <c:ptCount val="1"/>
                <c:pt idx="0">
                  <c:v>Start Date</c:v>
                </c:pt>
              </c:strCache>
            </c:strRef>
          </c:tx>
          <c:spPr>
            <a:noFill/>
            <a:ln>
              <a:noFill/>
            </a:ln>
            <a:effectLst/>
          </c:spPr>
          <c:invertIfNegative val="0"/>
          <c:cat>
            <c:strRef>
              <c:f>Blizzards!$C$8:$C$86</c:f>
              <c:strCache>
                <c:ptCount val="79"/>
                <c:pt idx="0">
                  <c:v>Alina</c:v>
                </c:pt>
                <c:pt idx="1">
                  <c:v># Create profile display, schedule input, and schedule display designs</c:v>
                </c:pt>
                <c:pt idx="12">
                  <c:v>Evaluate Dr. Edwards via Class Climate </c:v>
                </c:pt>
                <c:pt idx="13">
                  <c:v>Evaluate team using Brightspace survey</c:v>
                </c:pt>
                <c:pt idx="14">
                  <c:v>Lonzo</c:v>
                </c:pt>
                <c:pt idx="15">
                  <c:v># 43-48 Add unit tests for Profile, Schedule, Session, Flashcards, etc.</c:v>
                </c:pt>
                <c:pt idx="16">
                  <c:v>Add standup_meetings.txt File</c:v>
                </c:pt>
                <c:pt idx="17">
                  <c:v># 62 Create a remove_event method</c:v>
                </c:pt>
                <c:pt idx="18">
                  <c:v># 62 Create an output_events method </c:v>
                </c:pt>
                <c:pt idx="19">
                  <c:v>Create two __init__.py files</c:v>
                </c:pt>
                <c:pt idx="20">
                  <c:v>Update imports in test_study_buddies.py , invite_logic.py, auto_cancel.py, main.py, test_user_profile.py, test_event.py, file</c:v>
                </c:pt>
                <c:pt idx="21">
                  <c:v>Ran tests on test_study_buddies.py file</c:v>
                </c:pt>
                <c:pt idx="22">
                  <c:v>Remove use cases from event.py</c:v>
                </c:pt>
                <c:pt idx="23">
                  <c:v>#62 Add remove_event method from User Story #62 into user_profile.py file</c:v>
                </c:pt>
                <c:pt idx="24">
                  <c:v>#62 Add output_events method from user story #62 to user_profile.py file</c:v>
                </c:pt>
                <c:pt idx="25">
                  <c:v>#62 Add test_remove_event method in test_user_profile.py file</c:v>
                </c:pt>
                <c:pt idx="26">
                  <c:v>#62 Add test_output_events method to test_user_profile.py file</c:v>
                </c:pt>
                <c:pt idx="27">
                  <c:v>#60 Create a remove method</c:v>
                </c:pt>
                <c:pt idx="28">
                  <c:v>#60 Create two methods that help each other check for duplicate datetimes</c:v>
                </c:pt>
                <c:pt idx="29">
                  <c:v>#60  Test Study Session Use Cases</c:v>
                </c:pt>
                <c:pt idx="30">
                  <c:v>#59 Add User Story #59 Uses Cases to user_profile.py</c:v>
                </c:pt>
                <c:pt idx="31">
                  <c:v>#59 Test User Story #59 Use Cases</c:v>
                </c:pt>
                <c:pt idx="32">
                  <c:v>Remove Blizzards Modules from each .py file</c:v>
                </c:pt>
                <c:pt idx="33">
                  <c:v>#75  Create a Sort Study Sessions function from earliest to latest</c:v>
                </c:pt>
                <c:pt idx="34">
                  <c:v>#75  Create a function that filters only upcoming sessions</c:v>
                </c:pt>
                <c:pt idx="35">
                  <c:v>#75 Test sort_study_sessions function</c:v>
                </c:pt>
                <c:pt idx="36">
                  <c:v>#75 Test upcoming sessions function</c:v>
                </c:pt>
                <c:pt idx="37">
                  <c:v>#75 Test for an empty schedule</c:v>
                </c:pt>
                <c:pt idx="38">
                  <c:v>#76 Create Count Student Availability by Hour function in user_profile.py</c:v>
                </c:pt>
                <c:pt idx="39">
                  <c:v>#76 Create a function that returns the hour with the highest availability</c:v>
                </c:pt>
                <c:pt idx="40">
                  <c:v>#76 Test count_availability_by_hour method</c:v>
                </c:pt>
                <c:pt idx="41">
                  <c:v>#76 Test best_hour method</c:v>
                </c:pt>
                <c:pt idx="42">
                  <c:v>#76 Test if there is not a best hour</c:v>
                </c:pt>
                <c:pt idx="43">
                  <c:v>#77 Create a function that checks for availability conflicts</c:v>
                </c:pt>
                <c:pt idx="44">
                  <c:v>#77 Create a function that adds a study session only if it does not conflict with another</c:v>
                </c:pt>
                <c:pt idx="45">
                  <c:v>#77 Test that all conflict types are identified</c:v>
                </c:pt>
                <c:pt idx="46">
                  <c:v>#77 Test that a study session is added if there are no conflicts</c:v>
                </c:pt>
                <c:pt idx="47">
                  <c:v>#77 Test that a study session is not added to the schedule if it conflicts with another</c:v>
                </c:pt>
                <c:pt idx="48">
                  <c:v>Add important imports to user_profile.py &amp; test_user_profile.py</c:v>
                </c:pt>
                <c:pt idx="49">
                  <c:v>Evaluate Dr. Edwards via Class Climate </c:v>
                </c:pt>
                <c:pt idx="50">
                  <c:v>Evaluate team using Brightspace survey</c:v>
                </c:pt>
                <c:pt idx="51">
                  <c:v>Robin</c:v>
                </c:pt>
                <c:pt idx="52">
                  <c:v># Update README with 6 numbered, prioritized projects</c:v>
                </c:pt>
                <c:pt idx="63">
                  <c:v>Evaluate Dr. Edwards via Class Climate </c:v>
                </c:pt>
                <c:pt idx="64">
                  <c:v>Evaluate team using Brightspace survey</c:v>
                </c:pt>
                <c:pt idx="65">
                  <c:v>Samuel</c:v>
                </c:pt>
                <c:pt idx="66">
                  <c:v># create AutoCancelJob, FlashcardGenerator, InviteLogic, Profile, StudySession classes</c:v>
                </c:pt>
                <c:pt idx="77">
                  <c:v>Evaluate Dr. Edwards via Class Climate </c:v>
                </c:pt>
                <c:pt idx="78">
                  <c:v>Evaluate team using Brightspace survey</c:v>
                </c:pt>
              </c:strCache>
            </c:strRef>
          </c:cat>
          <c:val>
            <c:numRef>
              <c:f>Blizzards!$F$8:$F$86</c:f>
              <c:numCache>
                <c:formatCode>m/d;@</c:formatCode>
                <c:ptCount val="79"/>
                <c:pt idx="0">
                  <c:v>45983</c:v>
                </c:pt>
                <c:pt idx="1">
                  <c:v>45983</c:v>
                </c:pt>
                <c:pt idx="12">
                  <c:v>45983</c:v>
                </c:pt>
                <c:pt idx="13">
                  <c:v>45992</c:v>
                </c:pt>
                <c:pt idx="14">
                  <c:v>45978</c:v>
                </c:pt>
                <c:pt idx="15">
                  <c:v>45978</c:v>
                </c:pt>
                <c:pt idx="16">
                  <c:v>45981</c:v>
                </c:pt>
                <c:pt idx="17">
                  <c:v>45985</c:v>
                </c:pt>
                <c:pt idx="18">
                  <c:v>45985</c:v>
                </c:pt>
                <c:pt idx="19">
                  <c:v>45985</c:v>
                </c:pt>
                <c:pt idx="20">
                  <c:v>45985</c:v>
                </c:pt>
                <c:pt idx="21">
                  <c:v>45985</c:v>
                </c:pt>
                <c:pt idx="22">
                  <c:v>45985</c:v>
                </c:pt>
                <c:pt idx="23">
                  <c:v>45985</c:v>
                </c:pt>
                <c:pt idx="24">
                  <c:v>45985</c:v>
                </c:pt>
                <c:pt idx="25">
                  <c:v>45985</c:v>
                </c:pt>
                <c:pt idx="26">
                  <c:v>45985</c:v>
                </c:pt>
                <c:pt idx="27">
                  <c:v>45985</c:v>
                </c:pt>
                <c:pt idx="28">
                  <c:v>45985</c:v>
                </c:pt>
                <c:pt idx="29">
                  <c:v>45985</c:v>
                </c:pt>
                <c:pt idx="30">
                  <c:v>45985</c:v>
                </c:pt>
                <c:pt idx="31">
                  <c:v>45985</c:v>
                </c:pt>
                <c:pt idx="32">
                  <c:v>45986</c:v>
                </c:pt>
                <c:pt idx="33">
                  <c:v>45990</c:v>
                </c:pt>
                <c:pt idx="34">
                  <c:v>45990</c:v>
                </c:pt>
                <c:pt idx="35">
                  <c:v>45990</c:v>
                </c:pt>
                <c:pt idx="36">
                  <c:v>45990</c:v>
                </c:pt>
                <c:pt idx="37">
                  <c:v>45990</c:v>
                </c:pt>
                <c:pt idx="38">
                  <c:v>45990</c:v>
                </c:pt>
                <c:pt idx="39">
                  <c:v>45990</c:v>
                </c:pt>
                <c:pt idx="40">
                  <c:v>45990</c:v>
                </c:pt>
                <c:pt idx="41">
                  <c:v>45990</c:v>
                </c:pt>
                <c:pt idx="42">
                  <c:v>45990</c:v>
                </c:pt>
                <c:pt idx="43">
                  <c:v>45990</c:v>
                </c:pt>
                <c:pt idx="44">
                  <c:v>45990</c:v>
                </c:pt>
                <c:pt idx="45">
                  <c:v>45990</c:v>
                </c:pt>
                <c:pt idx="46">
                  <c:v>45990</c:v>
                </c:pt>
                <c:pt idx="47">
                  <c:v>45990</c:v>
                </c:pt>
                <c:pt idx="48">
                  <c:v>45990</c:v>
                </c:pt>
                <c:pt idx="49">
                  <c:v>45983</c:v>
                </c:pt>
                <c:pt idx="50">
                  <c:v>45992</c:v>
                </c:pt>
                <c:pt idx="51">
                  <c:v>45983</c:v>
                </c:pt>
                <c:pt idx="52">
                  <c:v>45986</c:v>
                </c:pt>
                <c:pt idx="63">
                  <c:v>45983</c:v>
                </c:pt>
                <c:pt idx="64">
                  <c:v>45992</c:v>
                </c:pt>
                <c:pt idx="65">
                  <c:v>45978</c:v>
                </c:pt>
                <c:pt idx="66">
                  <c:v>45978</c:v>
                </c:pt>
                <c:pt idx="77">
                  <c:v>45983</c:v>
                </c:pt>
                <c:pt idx="78">
                  <c:v>45992</c:v>
                </c:pt>
              </c:numCache>
            </c:numRef>
          </c:val>
          <c:extLst>
            <c:ext xmlns:c16="http://schemas.microsoft.com/office/drawing/2014/chart" uri="{C3380CC4-5D6E-409C-BE32-E72D297353CC}">
              <c16:uniqueId val="{00000000-8C3B-6B4E-8271-047982C56358}"/>
            </c:ext>
          </c:extLst>
        </c:ser>
        <c:ser>
          <c:idx val="1"/>
          <c:order val="1"/>
          <c:tx>
            <c:strRef>
              <c:f>Blizzards!$H$7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Blizzards!$C$8:$C$86</c:f>
              <c:strCache>
                <c:ptCount val="79"/>
                <c:pt idx="0">
                  <c:v>Alina</c:v>
                </c:pt>
                <c:pt idx="1">
                  <c:v># Create profile display, schedule input, and schedule display designs</c:v>
                </c:pt>
                <c:pt idx="12">
                  <c:v>Evaluate Dr. Edwards via Class Climate </c:v>
                </c:pt>
                <c:pt idx="13">
                  <c:v>Evaluate team using Brightspace survey</c:v>
                </c:pt>
                <c:pt idx="14">
                  <c:v>Lonzo</c:v>
                </c:pt>
                <c:pt idx="15">
                  <c:v># 43-48 Add unit tests for Profile, Schedule, Session, Flashcards, etc.</c:v>
                </c:pt>
                <c:pt idx="16">
                  <c:v>Add standup_meetings.txt File</c:v>
                </c:pt>
                <c:pt idx="17">
                  <c:v># 62 Create a remove_event method</c:v>
                </c:pt>
                <c:pt idx="18">
                  <c:v># 62 Create an output_events method </c:v>
                </c:pt>
                <c:pt idx="19">
                  <c:v>Create two __init__.py files</c:v>
                </c:pt>
                <c:pt idx="20">
                  <c:v>Update imports in test_study_buddies.py , invite_logic.py, auto_cancel.py, main.py, test_user_profile.py, test_event.py, file</c:v>
                </c:pt>
                <c:pt idx="21">
                  <c:v>Ran tests on test_study_buddies.py file</c:v>
                </c:pt>
                <c:pt idx="22">
                  <c:v>Remove use cases from event.py</c:v>
                </c:pt>
                <c:pt idx="23">
                  <c:v>#62 Add remove_event method from User Story #62 into user_profile.py file</c:v>
                </c:pt>
                <c:pt idx="24">
                  <c:v>#62 Add output_events method from user story #62 to user_profile.py file</c:v>
                </c:pt>
                <c:pt idx="25">
                  <c:v>#62 Add test_remove_event method in test_user_profile.py file</c:v>
                </c:pt>
                <c:pt idx="26">
                  <c:v>#62 Add test_output_events method to test_user_profile.py file</c:v>
                </c:pt>
                <c:pt idx="27">
                  <c:v>#60 Create a remove method</c:v>
                </c:pt>
                <c:pt idx="28">
                  <c:v>#60 Create two methods that help each other check for duplicate datetimes</c:v>
                </c:pt>
                <c:pt idx="29">
                  <c:v>#60  Test Study Session Use Cases</c:v>
                </c:pt>
                <c:pt idx="30">
                  <c:v>#59 Add User Story #59 Uses Cases to user_profile.py</c:v>
                </c:pt>
                <c:pt idx="31">
                  <c:v>#59 Test User Story #59 Use Cases</c:v>
                </c:pt>
                <c:pt idx="32">
                  <c:v>Remove Blizzards Modules from each .py file</c:v>
                </c:pt>
                <c:pt idx="33">
                  <c:v>#75  Create a Sort Study Sessions function from earliest to latest</c:v>
                </c:pt>
                <c:pt idx="34">
                  <c:v>#75  Create a function that filters only upcoming sessions</c:v>
                </c:pt>
                <c:pt idx="35">
                  <c:v>#75 Test sort_study_sessions function</c:v>
                </c:pt>
                <c:pt idx="36">
                  <c:v>#75 Test upcoming sessions function</c:v>
                </c:pt>
                <c:pt idx="37">
                  <c:v>#75 Test for an empty schedule</c:v>
                </c:pt>
                <c:pt idx="38">
                  <c:v>#76 Create Count Student Availability by Hour function in user_profile.py</c:v>
                </c:pt>
                <c:pt idx="39">
                  <c:v>#76 Create a function that returns the hour with the highest availability</c:v>
                </c:pt>
                <c:pt idx="40">
                  <c:v>#76 Test count_availability_by_hour method</c:v>
                </c:pt>
                <c:pt idx="41">
                  <c:v>#76 Test best_hour method</c:v>
                </c:pt>
                <c:pt idx="42">
                  <c:v>#76 Test if there is not a best hour</c:v>
                </c:pt>
                <c:pt idx="43">
                  <c:v>#77 Create a function that checks for availability conflicts</c:v>
                </c:pt>
                <c:pt idx="44">
                  <c:v>#77 Create a function that adds a study session only if it does not conflict with another</c:v>
                </c:pt>
                <c:pt idx="45">
                  <c:v>#77 Test that all conflict types are identified</c:v>
                </c:pt>
                <c:pt idx="46">
                  <c:v>#77 Test that a study session is added if there are no conflicts</c:v>
                </c:pt>
                <c:pt idx="47">
                  <c:v>#77 Test that a study session is not added to the schedule if it conflicts with another</c:v>
                </c:pt>
                <c:pt idx="48">
                  <c:v>Add important imports to user_profile.py &amp; test_user_profile.py</c:v>
                </c:pt>
                <c:pt idx="49">
                  <c:v>Evaluate Dr. Edwards via Class Climate </c:v>
                </c:pt>
                <c:pt idx="50">
                  <c:v>Evaluate team using Brightspace survey</c:v>
                </c:pt>
                <c:pt idx="51">
                  <c:v>Robin</c:v>
                </c:pt>
                <c:pt idx="52">
                  <c:v># Update README with 6 numbered, prioritized projects</c:v>
                </c:pt>
                <c:pt idx="63">
                  <c:v>Evaluate Dr. Edwards via Class Climate </c:v>
                </c:pt>
                <c:pt idx="64">
                  <c:v>Evaluate team using Brightspace survey</c:v>
                </c:pt>
                <c:pt idx="65">
                  <c:v>Samuel</c:v>
                </c:pt>
                <c:pt idx="66">
                  <c:v># create AutoCancelJob, FlashcardGenerator, InviteLogic, Profile, StudySession classes</c:v>
                </c:pt>
                <c:pt idx="77">
                  <c:v>Evaluate Dr. Edwards via Class Climate </c:v>
                </c:pt>
                <c:pt idx="78">
                  <c:v>Evaluate team using Brightspace survey</c:v>
                </c:pt>
              </c:strCache>
            </c:strRef>
          </c:cat>
          <c:val>
            <c:numRef>
              <c:f>Blizzards!$H$8:$H$86</c:f>
              <c:numCache>
                <c:formatCode>0</c:formatCode>
                <c:ptCount val="79"/>
                <c:pt idx="0">
                  <c:v>17</c:v>
                </c:pt>
                <c:pt idx="1">
                  <c:v>17</c:v>
                </c:pt>
                <c:pt idx="12">
                  <c:v>17</c:v>
                </c:pt>
                <c:pt idx="13">
                  <c:v>1</c:v>
                </c:pt>
                <c:pt idx="14">
                  <c:v>22</c:v>
                </c:pt>
                <c:pt idx="15">
                  <c:v>8</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17</c:v>
                </c:pt>
                <c:pt idx="50">
                  <c:v>1</c:v>
                </c:pt>
                <c:pt idx="51" formatCode="General">
                  <c:v>17</c:v>
                </c:pt>
                <c:pt idx="52">
                  <c:v>1</c:v>
                </c:pt>
                <c:pt idx="63">
                  <c:v>17</c:v>
                </c:pt>
                <c:pt idx="64">
                  <c:v>1</c:v>
                </c:pt>
                <c:pt idx="65" formatCode="General">
                  <c:v>22</c:v>
                </c:pt>
                <c:pt idx="66">
                  <c:v>1</c:v>
                </c:pt>
                <c:pt idx="77">
                  <c:v>17</c:v>
                </c:pt>
                <c:pt idx="78">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241300</xdr:colOff>
      <xdr:row>86</xdr:row>
      <xdr:rowOff>114300</xdr:rowOff>
    </xdr:from>
    <xdr:to>
      <xdr:col>8</xdr:col>
      <xdr:colOff>3860800</xdr:colOff>
      <xdr:row>88</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622300</xdr:colOff>
      <xdr:row>14</xdr:row>
      <xdr:rowOff>63500</xdr:rowOff>
    </xdr:from>
    <xdr:to>
      <xdr:col>21</xdr:col>
      <xdr:colOff>12700</xdr:colOff>
      <xdr:row>19</xdr:row>
      <xdr:rowOff>101600</xdr:rowOff>
    </xdr:to>
    <xdr:pic>
      <xdr:nvPicPr>
        <xdr:cNvPr id="3" name="Picture 2">
          <a:extLst>
            <a:ext uri="{FF2B5EF4-FFF2-40B4-BE49-F238E27FC236}">
              <a16:creationId xmlns:a16="http://schemas.microsoft.com/office/drawing/2014/main" id="{36165626-95D0-D246-A10B-8A932F5B0EE4}"/>
            </a:ext>
          </a:extLst>
        </xdr:cNvPr>
        <xdr:cNvPicPr>
          <a:picLocks noChangeAspect="1"/>
        </xdr:cNvPicPr>
      </xdr:nvPicPr>
      <xdr:blipFill>
        <a:blip xmlns:r="http://schemas.openxmlformats.org/officeDocument/2006/relationships" r:embed="rId2"/>
        <a:stretch>
          <a:fillRect/>
        </a:stretch>
      </xdr:blipFill>
      <xdr:spPr>
        <a:xfrm>
          <a:off x="16167100" y="3886200"/>
          <a:ext cx="7620000" cy="1625600"/>
        </a:xfrm>
        <a:prstGeom prst="rect">
          <a:avLst/>
        </a:prstGeom>
      </xdr:spPr>
    </xdr:pic>
    <xdr:clientData/>
  </xdr:twoCellAnchor>
  <xdr:twoCellAnchor editAs="oneCell">
    <xdr:from>
      <xdr:col>11</xdr:col>
      <xdr:colOff>622300</xdr:colOff>
      <xdr:row>62</xdr:row>
      <xdr:rowOff>76200</xdr:rowOff>
    </xdr:from>
    <xdr:to>
      <xdr:col>21</xdr:col>
      <xdr:colOff>12700</xdr:colOff>
      <xdr:row>67</xdr:row>
      <xdr:rowOff>114300</xdr:rowOff>
    </xdr:to>
    <xdr:pic>
      <xdr:nvPicPr>
        <xdr:cNvPr id="4" name="Picture 3">
          <a:extLst>
            <a:ext uri="{FF2B5EF4-FFF2-40B4-BE49-F238E27FC236}">
              <a16:creationId xmlns:a16="http://schemas.microsoft.com/office/drawing/2014/main" id="{7D161921-8BA7-604C-B375-2496F134509B}"/>
            </a:ext>
          </a:extLst>
        </xdr:cNvPr>
        <xdr:cNvPicPr>
          <a:picLocks noChangeAspect="1"/>
        </xdr:cNvPicPr>
      </xdr:nvPicPr>
      <xdr:blipFill>
        <a:blip xmlns:r="http://schemas.openxmlformats.org/officeDocument/2006/relationships" r:embed="rId3"/>
        <a:stretch>
          <a:fillRect/>
        </a:stretch>
      </xdr:blipFill>
      <xdr:spPr>
        <a:xfrm>
          <a:off x="16167100" y="10883900"/>
          <a:ext cx="7620000" cy="1625600"/>
        </a:xfrm>
        <a:prstGeom prst="rect">
          <a:avLst/>
        </a:prstGeom>
      </xdr:spPr>
    </xdr:pic>
    <xdr:clientData/>
  </xdr:twoCellAnchor>
  <xdr:twoCellAnchor editAs="oneCell">
    <xdr:from>
      <xdr:col>11</xdr:col>
      <xdr:colOff>635000</xdr:colOff>
      <xdr:row>46</xdr:row>
      <xdr:rowOff>88900</xdr:rowOff>
    </xdr:from>
    <xdr:to>
      <xdr:col>21</xdr:col>
      <xdr:colOff>25400</xdr:colOff>
      <xdr:row>51</xdr:row>
      <xdr:rowOff>127000</xdr:rowOff>
    </xdr:to>
    <xdr:pic>
      <xdr:nvPicPr>
        <xdr:cNvPr id="5" name="Picture 4">
          <a:extLst>
            <a:ext uri="{FF2B5EF4-FFF2-40B4-BE49-F238E27FC236}">
              <a16:creationId xmlns:a16="http://schemas.microsoft.com/office/drawing/2014/main" id="{9B76232B-94BB-9743-92E1-3F0E30D7DCEA}"/>
            </a:ext>
          </a:extLst>
        </xdr:cNvPr>
        <xdr:cNvPicPr>
          <a:picLocks noChangeAspect="1"/>
        </xdr:cNvPicPr>
      </xdr:nvPicPr>
      <xdr:blipFill>
        <a:blip xmlns:r="http://schemas.openxmlformats.org/officeDocument/2006/relationships" r:embed="rId4"/>
        <a:stretch>
          <a:fillRect/>
        </a:stretch>
      </xdr:blipFill>
      <xdr:spPr>
        <a:xfrm>
          <a:off x="16179800" y="7404100"/>
          <a:ext cx="7620000" cy="1625600"/>
        </a:xfrm>
        <a:prstGeom prst="rect">
          <a:avLst/>
        </a:prstGeom>
      </xdr:spPr>
    </xdr:pic>
    <xdr:clientData/>
  </xdr:twoCellAnchor>
  <xdr:twoCellAnchor editAs="oneCell">
    <xdr:from>
      <xdr:col>11</xdr:col>
      <xdr:colOff>622300</xdr:colOff>
      <xdr:row>76</xdr:row>
      <xdr:rowOff>63500</xdr:rowOff>
    </xdr:from>
    <xdr:to>
      <xdr:col>21</xdr:col>
      <xdr:colOff>12700</xdr:colOff>
      <xdr:row>81</xdr:row>
      <xdr:rowOff>101600</xdr:rowOff>
    </xdr:to>
    <xdr:pic>
      <xdr:nvPicPr>
        <xdr:cNvPr id="6" name="Picture 5">
          <a:extLst>
            <a:ext uri="{FF2B5EF4-FFF2-40B4-BE49-F238E27FC236}">
              <a16:creationId xmlns:a16="http://schemas.microsoft.com/office/drawing/2014/main" id="{78C6949F-A0CC-FD46-B6A9-5AC1A52FFDC9}"/>
            </a:ext>
          </a:extLst>
        </xdr:cNvPr>
        <xdr:cNvPicPr>
          <a:picLocks noChangeAspect="1"/>
        </xdr:cNvPicPr>
      </xdr:nvPicPr>
      <xdr:blipFill>
        <a:blip xmlns:r="http://schemas.openxmlformats.org/officeDocument/2006/relationships" r:embed="rId5"/>
        <a:stretch>
          <a:fillRect/>
        </a:stretch>
      </xdr:blipFill>
      <xdr:spPr>
        <a:xfrm>
          <a:off x="16167100" y="143637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32"/>
  <sheetViews>
    <sheetView showGridLines="0" tabSelected="1" workbookViewId="0">
      <pane ySplit="1" topLeftCell="A16" activePane="bottomLeft" state="frozen"/>
      <selection pane="bottomLeft" activeCell="D58" sqref="D58"/>
    </sheetView>
  </sheetViews>
  <sheetFormatPr defaultColWidth="11" defaultRowHeight="12.95" outlineLevelRow="1"/>
  <cols>
    <col min="1" max="1" width="3.375" style="7" customWidth="1"/>
    <col min="2" max="2" width="7.875" style="7" customWidth="1"/>
    <col min="3" max="3" width="116.375" style="7" bestFit="1" customWidth="1"/>
    <col min="4" max="4" width="12.875" style="7" customWidth="1"/>
    <col min="5" max="5" width="37.125" style="7" customWidth="1"/>
    <col min="6" max="6" width="12.625" style="39" customWidth="1"/>
    <col min="7" max="7" width="11.875" style="39" customWidth="1"/>
    <col min="8" max="8" width="8.125" style="7" customWidth="1"/>
    <col min="9" max="9" width="51.5" style="7" customWidth="1"/>
    <col min="10" max="10" width="3.375" style="7" customWidth="1"/>
    <col min="11" max="11" width="12.875" style="7" customWidth="1"/>
    <col min="12" max="17" width="11" style="7"/>
    <col min="18" max="18" width="9" style="7" customWidth="1"/>
    <col min="19" max="22" width="11" style="7"/>
    <col min="23" max="23" width="51.875" style="7" customWidth="1"/>
    <col min="24" max="16384" width="11" style="7"/>
  </cols>
  <sheetData>
    <row r="1" spans="1:258" ht="57" customHeight="1">
      <c r="A1" s="1"/>
      <c r="B1" s="29" t="s">
        <v>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c r="A2" s="18"/>
      <c r="B2" s="18"/>
      <c r="C2" s="18" t="s">
        <v>1</v>
      </c>
      <c r="D2" s="18"/>
      <c r="E2" s="18" t="s">
        <v>2</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c r="A3" s="1"/>
      <c r="B3" s="1"/>
      <c r="C3" s="21" t="s">
        <v>3</v>
      </c>
      <c r="D3" s="1"/>
      <c r="E3" s="27">
        <v>45970</v>
      </c>
      <c r="F3" s="36"/>
      <c r="G3" s="36"/>
      <c r="H3" s="1" t="s">
        <v>4</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c r="A4" s="18"/>
      <c r="B4" s="18"/>
      <c r="C4" s="22" t="s">
        <v>5</v>
      </c>
      <c r="D4" s="18"/>
      <c r="E4" s="22" t="s">
        <v>6</v>
      </c>
      <c r="F4" s="35"/>
      <c r="G4" s="35"/>
      <c r="H4" s="18" t="s">
        <v>7</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c r="A5" s="1"/>
      <c r="B5" s="1"/>
      <c r="C5" s="26" t="s">
        <v>8</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1" customHeight="1" thickBot="1">
      <c r="A7" s="10"/>
      <c r="B7" s="24"/>
      <c r="C7" s="24" t="s">
        <v>9</v>
      </c>
      <c r="D7" s="24" t="s">
        <v>10</v>
      </c>
      <c r="E7" s="24" t="s">
        <v>11</v>
      </c>
      <c r="F7" s="37" t="s">
        <v>2</v>
      </c>
      <c r="G7" s="38" t="s">
        <v>6</v>
      </c>
      <c r="H7" s="32" t="s">
        <v>12</v>
      </c>
      <c r="I7" s="24" t="s">
        <v>13</v>
      </c>
      <c r="J7" s="10"/>
      <c r="K7" s="31" t="s">
        <v>10</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4.95" customHeight="1">
      <c r="A8" s="47"/>
      <c r="B8" s="62"/>
      <c r="C8" s="63" t="s">
        <v>14</v>
      </c>
      <c r="D8" s="25"/>
      <c r="E8" s="25"/>
      <c r="F8" s="64">
        <f>MIN(F9:F21)</f>
        <v>45983</v>
      </c>
      <c r="G8" s="65">
        <f>MAX(G9:G21)</f>
        <v>45999</v>
      </c>
      <c r="H8" s="66">
        <f>IF(F8=0,0,G8-F8)+1</f>
        <v>17</v>
      </c>
      <c r="I8" s="25"/>
      <c r="J8" s="47"/>
      <c r="K8" s="67" t="s">
        <v>15</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7.95" outlineLevel="1">
      <c r="A9" s="8"/>
      <c r="B9" s="2"/>
      <c r="C9" s="14" t="s">
        <v>16</v>
      </c>
      <c r="D9" s="3" t="s">
        <v>17</v>
      </c>
      <c r="E9" s="4" t="s">
        <v>18</v>
      </c>
      <c r="F9" s="40">
        <v>45983</v>
      </c>
      <c r="G9" s="40">
        <v>45999</v>
      </c>
      <c r="H9" s="45">
        <f t="shared" ref="H9:H85" si="0">IF(OR(F9=0, ISBLANK(F9)),0,G9-F9+1)</f>
        <v>17</v>
      </c>
      <c r="I9" s="78" t="s">
        <v>19</v>
      </c>
      <c r="J9" s="8"/>
      <c r="K9" s="30" t="s">
        <v>20</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4.95" customHeight="1" outlineLevel="1">
      <c r="A10" s="8"/>
      <c r="B10" s="2"/>
      <c r="C10" s="14"/>
      <c r="D10" s="3"/>
      <c r="E10" s="4"/>
      <c r="F10" s="40"/>
      <c r="G10" s="40"/>
      <c r="H10" s="45"/>
      <c r="I10" s="2"/>
      <c r="J10" s="8"/>
      <c r="K10" s="3" t="s">
        <v>21</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4.95" customHeight="1" outlineLevel="1">
      <c r="A11" s="8"/>
      <c r="B11" s="2"/>
      <c r="C11" s="14"/>
      <c r="D11" s="3"/>
      <c r="E11" s="4"/>
      <c r="F11" s="40"/>
      <c r="G11" s="40"/>
      <c r="H11" s="45"/>
      <c r="I11" s="2"/>
      <c r="J11" s="8"/>
      <c r="K11" s="12" t="s">
        <v>17</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4.95" customHeight="1" outlineLevel="1">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4.95" customHeight="1" outlineLevel="1">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4.95" customHeight="1" outlineLevel="1">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4.95" customHeight="1" outlineLevel="1">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4.95" customHeight="1" outlineLevel="1">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4.95" customHeight="1" outlineLevel="1">
      <c r="A17" s="8"/>
      <c r="B17" s="2"/>
      <c r="C17" s="14"/>
      <c r="D17" s="3"/>
      <c r="E17" s="20"/>
      <c r="F17" s="40"/>
      <c r="G17" s="40"/>
      <c r="H17" s="45"/>
      <c r="I17" s="2"/>
      <c r="J17" s="8"/>
      <c r="K17" s="1"/>
      <c r="L17" s="8"/>
      <c r="M17" s="8"/>
      <c r="N17" s="8"/>
      <c r="O17" s="8"/>
      <c r="P17" s="8"/>
      <c r="Q17" s="8"/>
      <c r="R17" s="8"/>
      <c r="S17" s="8"/>
      <c r="T17" s="8"/>
      <c r="U17" s="8"/>
      <c r="V17" s="8"/>
      <c r="W17" s="8" t="s">
        <v>22</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4.95" customHeight="1" outlineLevel="1">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4.95" customHeight="1" outlineLevel="1">
      <c r="A19" s="8"/>
      <c r="B19" s="2"/>
      <c r="C19" s="79"/>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4.95" customHeight="1" outlineLevel="1">
      <c r="A20" s="8"/>
      <c r="B20" s="2"/>
      <c r="C20" s="14" t="s">
        <v>23</v>
      </c>
      <c r="D20" s="3" t="s">
        <v>15</v>
      </c>
      <c r="E20" s="13"/>
      <c r="F20" s="40">
        <v>45983</v>
      </c>
      <c r="G20" s="40">
        <v>45999</v>
      </c>
      <c r="H20" s="45">
        <f t="shared" si="0"/>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4.95" customHeight="1" outlineLevel="1" thickBot="1">
      <c r="A21" s="8"/>
      <c r="B21" s="16"/>
      <c r="C21" s="14" t="s">
        <v>24</v>
      </c>
      <c r="D21" s="15" t="s">
        <v>15</v>
      </c>
      <c r="E21" s="17"/>
      <c r="F21" s="42">
        <v>45992</v>
      </c>
      <c r="G21" s="43">
        <v>45992</v>
      </c>
      <c r="H21" s="45">
        <f t="shared" si="0"/>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4.95" customHeight="1">
      <c r="A22" s="47"/>
      <c r="B22" s="56"/>
      <c r="C22" s="56" t="s">
        <v>25</v>
      </c>
      <c r="D22" s="57"/>
      <c r="E22" s="58"/>
      <c r="F22" s="59">
        <f>MIN(F23:F58)</f>
        <v>45978</v>
      </c>
      <c r="G22" s="60">
        <f>MAX(G23:G58)</f>
        <v>45999</v>
      </c>
      <c r="H22" s="76">
        <f t="shared" si="0"/>
        <v>22</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15" outlineLevel="1">
      <c r="A23" s="8"/>
      <c r="B23" s="2"/>
      <c r="C23" s="14" t="s">
        <v>26</v>
      </c>
      <c r="D23" s="3" t="s">
        <v>21</v>
      </c>
      <c r="E23" s="13" t="s">
        <v>27</v>
      </c>
      <c r="F23" s="40">
        <v>45978</v>
      </c>
      <c r="G23" s="40">
        <v>45985</v>
      </c>
      <c r="H23" s="46">
        <f t="shared" si="0"/>
        <v>8</v>
      </c>
      <c r="I23" s="78"/>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4.95" customHeight="1" outlineLevel="1">
      <c r="A24" s="8"/>
      <c r="B24" s="2"/>
      <c r="C24" s="14" t="s">
        <v>28</v>
      </c>
      <c r="D24" s="3" t="s">
        <v>21</v>
      </c>
      <c r="E24" s="13" t="s">
        <v>29</v>
      </c>
      <c r="F24" s="40">
        <v>45981</v>
      </c>
      <c r="G24" s="40">
        <v>45981</v>
      </c>
      <c r="H24" s="46">
        <f t="shared" si="0"/>
        <v>1</v>
      </c>
      <c r="I24" s="2" t="s">
        <v>30</v>
      </c>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4.95" customHeight="1" outlineLevel="1">
      <c r="A25" s="8"/>
      <c r="B25" s="2"/>
      <c r="C25" s="14" t="s">
        <v>31</v>
      </c>
      <c r="D25" s="3" t="s">
        <v>21</v>
      </c>
      <c r="E25" s="13" t="s">
        <v>32</v>
      </c>
      <c r="F25" s="40">
        <v>45985</v>
      </c>
      <c r="G25" s="40">
        <v>45985</v>
      </c>
      <c r="H25" s="46">
        <v>1</v>
      </c>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4.95" customHeight="1" outlineLevel="1">
      <c r="A26" s="8"/>
      <c r="B26" s="2"/>
      <c r="C26" s="14" t="s">
        <v>33</v>
      </c>
      <c r="D26" s="3" t="s">
        <v>21</v>
      </c>
      <c r="E26" s="13" t="s">
        <v>34</v>
      </c>
      <c r="F26" s="40">
        <v>45985</v>
      </c>
      <c r="G26" s="40">
        <v>45985</v>
      </c>
      <c r="H26" s="46">
        <v>1</v>
      </c>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4.95" customHeight="1" outlineLevel="1">
      <c r="A27" s="8"/>
      <c r="B27" s="2"/>
      <c r="C27" s="14" t="s">
        <v>35</v>
      </c>
      <c r="D27" s="3" t="s">
        <v>21</v>
      </c>
      <c r="E27" s="13" t="s">
        <v>36</v>
      </c>
      <c r="F27" s="40">
        <v>45985</v>
      </c>
      <c r="G27" s="40">
        <v>45985</v>
      </c>
      <c r="H27" s="46">
        <v>1</v>
      </c>
      <c r="I27" s="2" t="s">
        <v>37</v>
      </c>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4.95" customHeight="1" outlineLevel="1">
      <c r="A28" s="8"/>
      <c r="B28" s="2"/>
      <c r="C28" s="14" t="s">
        <v>38</v>
      </c>
      <c r="D28" s="3" t="s">
        <v>21</v>
      </c>
      <c r="E28" s="13" t="s">
        <v>39</v>
      </c>
      <c r="F28" s="40">
        <v>45985</v>
      </c>
      <c r="G28" s="40">
        <v>45985</v>
      </c>
      <c r="H28" s="46">
        <v>1</v>
      </c>
      <c r="I28" s="2" t="s">
        <v>40</v>
      </c>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4.95" customHeight="1" outlineLevel="1">
      <c r="A29" s="8"/>
      <c r="B29" s="2"/>
      <c r="C29" s="14" t="s">
        <v>41</v>
      </c>
      <c r="D29" s="3" t="s">
        <v>21</v>
      </c>
      <c r="E29" s="13" t="s">
        <v>42</v>
      </c>
      <c r="F29" s="40">
        <v>45985</v>
      </c>
      <c r="G29" s="40">
        <v>45985</v>
      </c>
      <c r="H29" s="46">
        <v>1</v>
      </c>
      <c r="I29" s="2" t="s">
        <v>37</v>
      </c>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4.95" customHeight="1" outlineLevel="1">
      <c r="A30" s="8"/>
      <c r="B30" s="2"/>
      <c r="C30" s="14" t="s">
        <v>43</v>
      </c>
      <c r="D30" s="3" t="s">
        <v>21</v>
      </c>
      <c r="E30" s="13" t="s">
        <v>44</v>
      </c>
      <c r="F30" s="40">
        <v>45985</v>
      </c>
      <c r="G30" s="40">
        <v>45985</v>
      </c>
      <c r="H30" s="46">
        <v>1</v>
      </c>
      <c r="I30" s="2" t="s">
        <v>40</v>
      </c>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4.95" customHeight="1" outlineLevel="1">
      <c r="A31" s="8"/>
      <c r="B31" s="2"/>
      <c r="C31" s="14" t="s">
        <v>45</v>
      </c>
      <c r="D31" s="3" t="s">
        <v>21</v>
      </c>
      <c r="E31" s="13" t="s">
        <v>46</v>
      </c>
      <c r="F31" s="40">
        <v>45985</v>
      </c>
      <c r="G31" s="40">
        <v>45985</v>
      </c>
      <c r="H31" s="46">
        <v>1</v>
      </c>
      <c r="I31" s="14"/>
      <c r="J31" s="8"/>
      <c r="K31" s="1"/>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4.95" customHeight="1" outlineLevel="1">
      <c r="A32" s="8"/>
      <c r="B32" s="2"/>
      <c r="C32" s="14" t="s">
        <v>47</v>
      </c>
      <c r="D32" s="3" t="s">
        <v>21</v>
      </c>
      <c r="E32" s="13" t="s">
        <v>48</v>
      </c>
      <c r="F32" s="40">
        <v>45985</v>
      </c>
      <c r="G32" s="40">
        <v>45985</v>
      </c>
      <c r="H32" s="46">
        <v>1</v>
      </c>
      <c r="I32" s="14"/>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4.95" customHeight="1" outlineLevel="1">
      <c r="A33" s="8"/>
      <c r="B33" s="2"/>
      <c r="C33" s="14" t="s">
        <v>49</v>
      </c>
      <c r="D33" s="3" t="s">
        <v>21</v>
      </c>
      <c r="E33" s="13" t="s">
        <v>50</v>
      </c>
      <c r="F33" s="40">
        <v>45985</v>
      </c>
      <c r="G33" s="40">
        <v>45985</v>
      </c>
      <c r="H33" s="46">
        <v>1</v>
      </c>
      <c r="I33" s="14"/>
      <c r="J33" s="8"/>
      <c r="K33" s="1"/>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4.95" customHeight="1" outlineLevel="1">
      <c r="A34" s="8"/>
      <c r="B34" s="2"/>
      <c r="C34" s="14" t="s">
        <v>51</v>
      </c>
      <c r="D34" s="3" t="s">
        <v>21</v>
      </c>
      <c r="E34" s="13" t="s">
        <v>52</v>
      </c>
      <c r="F34" s="40">
        <v>45985</v>
      </c>
      <c r="G34" s="40">
        <v>45985</v>
      </c>
      <c r="H34" s="46">
        <v>1</v>
      </c>
      <c r="I34" s="14"/>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4.95" customHeight="1" outlineLevel="1">
      <c r="A35" s="8"/>
      <c r="B35" s="2"/>
      <c r="C35" s="14" t="s">
        <v>53</v>
      </c>
      <c r="D35" s="3" t="s">
        <v>21</v>
      </c>
      <c r="E35" s="13" t="s">
        <v>54</v>
      </c>
      <c r="F35" s="40">
        <v>45985</v>
      </c>
      <c r="G35" s="40">
        <v>45985</v>
      </c>
      <c r="H35" s="46">
        <v>1</v>
      </c>
      <c r="I35" s="14"/>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9" customFormat="1" ht="24.95" customHeight="1" outlineLevel="1">
      <c r="A36" s="8"/>
      <c r="B36" s="2"/>
      <c r="C36" s="14" t="s">
        <v>55</v>
      </c>
      <c r="D36" s="3" t="s">
        <v>21</v>
      </c>
      <c r="E36" s="13" t="s">
        <v>56</v>
      </c>
      <c r="F36" s="40">
        <v>45985</v>
      </c>
      <c r="G36" s="40">
        <v>45985</v>
      </c>
      <c r="H36" s="46">
        <v>1</v>
      </c>
      <c r="I36" s="14"/>
      <c r="J36" s="8"/>
      <c r="K36" s="1"/>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row>
    <row r="37" spans="1:258" s="9" customFormat="1" ht="24.95" customHeight="1" outlineLevel="1">
      <c r="A37" s="8"/>
      <c r="B37" s="2"/>
      <c r="C37" s="14" t="s">
        <v>57</v>
      </c>
      <c r="D37" s="3" t="s">
        <v>21</v>
      </c>
      <c r="E37" s="13" t="s">
        <v>58</v>
      </c>
      <c r="F37" s="40">
        <v>45985</v>
      </c>
      <c r="G37" s="40">
        <v>45985</v>
      </c>
      <c r="H37" s="46">
        <v>1</v>
      </c>
      <c r="I37" s="14"/>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4.95" customHeight="1" outlineLevel="1">
      <c r="A38" s="8"/>
      <c r="B38" s="2"/>
      <c r="C38" s="14" t="s">
        <v>59</v>
      </c>
      <c r="D38" s="3" t="s">
        <v>21</v>
      </c>
      <c r="E38" s="13" t="s">
        <v>60</v>
      </c>
      <c r="F38" s="40">
        <v>45985</v>
      </c>
      <c r="G38" s="40">
        <v>45985</v>
      </c>
      <c r="H38" s="46">
        <v>1</v>
      </c>
      <c r="I38" s="14"/>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4.95" customHeight="1" outlineLevel="1">
      <c r="A39" s="8"/>
      <c r="B39" s="2"/>
      <c r="C39" s="14" t="s">
        <v>61</v>
      </c>
      <c r="D39" s="3" t="s">
        <v>21</v>
      </c>
      <c r="E39" s="13" t="s">
        <v>62</v>
      </c>
      <c r="F39" s="40">
        <v>45985</v>
      </c>
      <c r="G39" s="40">
        <v>45985</v>
      </c>
      <c r="H39" s="46">
        <v>1</v>
      </c>
      <c r="I39" s="14"/>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4.95" customHeight="1" outlineLevel="1">
      <c r="A40" s="8"/>
      <c r="B40" s="2"/>
      <c r="C40" s="14" t="s">
        <v>63</v>
      </c>
      <c r="D40" s="3" t="s">
        <v>21</v>
      </c>
      <c r="E40" s="13" t="s">
        <v>64</v>
      </c>
      <c r="F40" s="40">
        <v>45986</v>
      </c>
      <c r="G40" s="40">
        <v>45986</v>
      </c>
      <c r="H40" s="46">
        <v>1</v>
      </c>
      <c r="I40" s="2" t="s">
        <v>40</v>
      </c>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4.95" customHeight="1" outlineLevel="1">
      <c r="A41" s="8"/>
      <c r="B41" s="2"/>
      <c r="C41" s="14" t="s">
        <v>65</v>
      </c>
      <c r="D41" s="3" t="s">
        <v>21</v>
      </c>
      <c r="E41" s="13" t="s">
        <v>66</v>
      </c>
      <c r="F41" s="40">
        <v>45990</v>
      </c>
      <c r="G41" s="40">
        <v>45990</v>
      </c>
      <c r="H41" s="46">
        <v>1</v>
      </c>
      <c r="I41" s="14"/>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4.95" customHeight="1" outlineLevel="1">
      <c r="A42" s="8"/>
      <c r="B42" s="2"/>
      <c r="C42" s="14" t="s">
        <v>67</v>
      </c>
      <c r="D42" s="3" t="s">
        <v>21</v>
      </c>
      <c r="E42" s="13" t="s">
        <v>68</v>
      </c>
      <c r="F42" s="40">
        <v>45990</v>
      </c>
      <c r="G42" s="40">
        <v>45990</v>
      </c>
      <c r="H42" s="46">
        <v>1</v>
      </c>
      <c r="I42" s="14"/>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4.95" customHeight="1" outlineLevel="1">
      <c r="A43" s="8"/>
      <c r="B43" s="2"/>
      <c r="C43" s="14" t="s">
        <v>69</v>
      </c>
      <c r="D43" s="3" t="s">
        <v>21</v>
      </c>
      <c r="E43" s="13" t="s">
        <v>70</v>
      </c>
      <c r="F43" s="40">
        <v>45990</v>
      </c>
      <c r="G43" s="40">
        <v>45990</v>
      </c>
      <c r="H43" s="46">
        <v>1</v>
      </c>
      <c r="I43" s="14"/>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4.95" customHeight="1" outlineLevel="1">
      <c r="A44" s="8"/>
      <c r="B44" s="2"/>
      <c r="C44" s="14" t="s">
        <v>71</v>
      </c>
      <c r="D44" s="3" t="s">
        <v>21</v>
      </c>
      <c r="E44" s="13" t="s">
        <v>72</v>
      </c>
      <c r="F44" s="40">
        <v>45990</v>
      </c>
      <c r="G44" s="40">
        <v>45990</v>
      </c>
      <c r="H44" s="46">
        <v>1</v>
      </c>
      <c r="I44" s="14"/>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4.95" customHeight="1" outlineLevel="1">
      <c r="A45" s="8"/>
      <c r="B45" s="2"/>
      <c r="C45" s="14" t="s">
        <v>73</v>
      </c>
      <c r="D45" s="3" t="s">
        <v>21</v>
      </c>
      <c r="E45" s="13" t="s">
        <v>74</v>
      </c>
      <c r="F45" s="40">
        <v>45990</v>
      </c>
      <c r="G45" s="40">
        <v>45990</v>
      </c>
      <c r="H45" s="46">
        <v>1</v>
      </c>
      <c r="I45" s="14"/>
      <c r="J45" s="8"/>
      <c r="K45" s="1"/>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4.95" customHeight="1" outlineLevel="1">
      <c r="A46" s="8"/>
      <c r="B46" s="2"/>
      <c r="C46" s="14" t="s">
        <v>75</v>
      </c>
      <c r="D46" s="3" t="s">
        <v>21</v>
      </c>
      <c r="E46" s="13" t="s">
        <v>76</v>
      </c>
      <c r="F46" s="40">
        <v>45990</v>
      </c>
      <c r="G46" s="40">
        <v>45990</v>
      </c>
      <c r="H46" s="46">
        <v>1</v>
      </c>
      <c r="I46" s="14"/>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4.95" customHeight="1" outlineLevel="1">
      <c r="A47" s="8"/>
      <c r="B47" s="2"/>
      <c r="C47" s="14" t="s">
        <v>77</v>
      </c>
      <c r="D47" s="3" t="s">
        <v>21</v>
      </c>
      <c r="E47" s="13" t="s">
        <v>78</v>
      </c>
      <c r="F47" s="40">
        <v>45990</v>
      </c>
      <c r="G47" s="40">
        <v>45990</v>
      </c>
      <c r="H47" s="46">
        <v>1</v>
      </c>
      <c r="I47" s="14"/>
      <c r="J47" s="8"/>
      <c r="K47" s="1"/>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4.95" customHeight="1" outlineLevel="1">
      <c r="A48" s="8"/>
      <c r="B48" s="2"/>
      <c r="C48" s="14" t="s">
        <v>79</v>
      </c>
      <c r="D48" s="3" t="s">
        <v>21</v>
      </c>
      <c r="E48" s="13" t="s">
        <v>80</v>
      </c>
      <c r="F48" s="40">
        <v>45990</v>
      </c>
      <c r="G48" s="40">
        <v>45990</v>
      </c>
      <c r="H48" s="46">
        <v>1</v>
      </c>
      <c r="I48" s="14"/>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4.95" customHeight="1" outlineLevel="1">
      <c r="A49" s="8"/>
      <c r="B49" s="2"/>
      <c r="C49" s="14" t="s">
        <v>81</v>
      </c>
      <c r="D49" s="3" t="s">
        <v>21</v>
      </c>
      <c r="E49" s="13" t="s">
        <v>82</v>
      </c>
      <c r="F49" s="40">
        <v>45990</v>
      </c>
      <c r="G49" s="40">
        <v>45990</v>
      </c>
      <c r="H49" s="46">
        <v>1</v>
      </c>
      <c r="I49" s="14"/>
      <c r="J49" s="8"/>
      <c r="K49" s="1"/>
      <c r="L49" s="8"/>
      <c r="M49" s="8"/>
      <c r="N49" s="8"/>
      <c r="O49" s="8"/>
      <c r="P49" s="8"/>
      <c r="Q49" s="8"/>
      <c r="R49" s="8"/>
      <c r="S49" s="8"/>
      <c r="T49" s="8"/>
      <c r="U49" s="8"/>
      <c r="V49" s="8"/>
      <c r="W49" s="8" t="s">
        <v>83</v>
      </c>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9" customFormat="1" ht="24.95" customHeight="1" outlineLevel="1">
      <c r="A50" s="8"/>
      <c r="B50" s="2"/>
      <c r="C50" s="14" t="s">
        <v>84</v>
      </c>
      <c r="D50" s="3" t="s">
        <v>21</v>
      </c>
      <c r="E50" s="13" t="s">
        <v>85</v>
      </c>
      <c r="F50" s="40">
        <v>45990</v>
      </c>
      <c r="G50" s="40">
        <v>45990</v>
      </c>
      <c r="H50" s="46">
        <v>1</v>
      </c>
      <c r="I50" s="14"/>
      <c r="J50" s="8"/>
      <c r="K50" s="1"/>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row>
    <row r="51" spans="1:258" s="9" customFormat="1" ht="24.95" customHeight="1" outlineLevel="1">
      <c r="A51" s="8"/>
      <c r="B51" s="2"/>
      <c r="C51" s="14" t="s">
        <v>86</v>
      </c>
      <c r="D51" s="3" t="s">
        <v>21</v>
      </c>
      <c r="E51" s="13" t="s">
        <v>87</v>
      </c>
      <c r="F51" s="40">
        <v>45990</v>
      </c>
      <c r="G51" s="40">
        <v>45990</v>
      </c>
      <c r="H51" s="46">
        <v>1</v>
      </c>
      <c r="I51" s="14"/>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4.95" customHeight="1" outlineLevel="1">
      <c r="A52" s="8"/>
      <c r="B52" s="2"/>
      <c r="C52" s="14" t="s">
        <v>88</v>
      </c>
      <c r="D52" s="3" t="s">
        <v>21</v>
      </c>
      <c r="E52" s="13" t="s">
        <v>89</v>
      </c>
      <c r="F52" s="40">
        <v>45990</v>
      </c>
      <c r="G52" s="40">
        <v>45990</v>
      </c>
      <c r="H52" s="46">
        <v>1</v>
      </c>
      <c r="I52" s="14"/>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4.95" customHeight="1" outlineLevel="1">
      <c r="A53" s="8"/>
      <c r="B53" s="2"/>
      <c r="C53" s="14" t="s">
        <v>90</v>
      </c>
      <c r="D53" s="3" t="s">
        <v>21</v>
      </c>
      <c r="E53" s="13" t="s">
        <v>91</v>
      </c>
      <c r="F53" s="40">
        <v>45990</v>
      </c>
      <c r="G53" s="40">
        <v>45990</v>
      </c>
      <c r="H53" s="46">
        <v>1</v>
      </c>
      <c r="I53" s="14"/>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4.95" customHeight="1" outlineLevel="1">
      <c r="A54" s="8"/>
      <c r="B54" s="2"/>
      <c r="C54" s="14" t="s">
        <v>92</v>
      </c>
      <c r="D54" s="3" t="s">
        <v>21</v>
      </c>
      <c r="E54" s="13" t="s">
        <v>93</v>
      </c>
      <c r="F54" s="40">
        <v>45990</v>
      </c>
      <c r="G54" s="40">
        <v>45990</v>
      </c>
      <c r="H54" s="46">
        <v>1</v>
      </c>
      <c r="I54" s="14"/>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4.95" customHeight="1" outlineLevel="1">
      <c r="A55" s="8"/>
      <c r="B55" s="2"/>
      <c r="C55" s="14" t="s">
        <v>94</v>
      </c>
      <c r="D55" s="3" t="s">
        <v>21</v>
      </c>
      <c r="E55" s="13" t="s">
        <v>95</v>
      </c>
      <c r="F55" s="40">
        <v>45990</v>
      </c>
      <c r="G55" s="40">
        <v>45990</v>
      </c>
      <c r="H55" s="46">
        <v>1</v>
      </c>
      <c r="I55" s="14"/>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4.95" customHeight="1" outlineLevel="1">
      <c r="A56" s="8"/>
      <c r="B56" s="2"/>
      <c r="C56" s="14" t="s">
        <v>96</v>
      </c>
      <c r="D56" s="3" t="s">
        <v>21</v>
      </c>
      <c r="E56" s="13" t="s">
        <v>97</v>
      </c>
      <c r="F56" s="40">
        <v>45990</v>
      </c>
      <c r="G56" s="40">
        <v>45990</v>
      </c>
      <c r="H56" s="46">
        <v>1</v>
      </c>
      <c r="I56" s="2" t="s">
        <v>40</v>
      </c>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4.95" customHeight="1" outlineLevel="1">
      <c r="A57" s="8"/>
      <c r="B57" s="2"/>
      <c r="C57" s="14" t="s">
        <v>23</v>
      </c>
      <c r="D57" s="3" t="s">
        <v>21</v>
      </c>
      <c r="E57" s="13"/>
      <c r="F57" s="40">
        <v>45983</v>
      </c>
      <c r="G57" s="40">
        <v>45999</v>
      </c>
      <c r="H57" s="46">
        <f t="shared" si="0"/>
        <v>17</v>
      </c>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4.95" customHeight="1" outlineLevel="1" thickBot="1">
      <c r="A58" s="8"/>
      <c r="B58" s="2"/>
      <c r="C58" s="14" t="s">
        <v>24</v>
      </c>
      <c r="D58" s="15" t="s">
        <v>21</v>
      </c>
      <c r="E58" s="17"/>
      <c r="F58" s="42">
        <v>45992</v>
      </c>
      <c r="G58" s="43">
        <v>45992</v>
      </c>
      <c r="H58" s="46">
        <f t="shared" si="0"/>
        <v>1</v>
      </c>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55" customFormat="1" ht="24.95" customHeight="1">
      <c r="A59" s="47"/>
      <c r="B59" s="48"/>
      <c r="C59" s="48" t="s">
        <v>98</v>
      </c>
      <c r="D59" s="49"/>
      <c r="E59" s="50"/>
      <c r="F59" s="51">
        <f>MIN(F60:F72)</f>
        <v>45983</v>
      </c>
      <c r="G59" s="52">
        <f>MAX(G60:G72)</f>
        <v>45999</v>
      </c>
      <c r="H59" s="75">
        <f t="shared" si="0"/>
        <v>17</v>
      </c>
      <c r="I59" s="53"/>
      <c r="J59" s="47"/>
      <c r="K59" s="1"/>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c r="DA59" s="47"/>
      <c r="DB59" s="47"/>
      <c r="DC59" s="47"/>
      <c r="DD59" s="47"/>
      <c r="DE59" s="47"/>
      <c r="DF59" s="47"/>
      <c r="DG59" s="47"/>
      <c r="DH59" s="47"/>
      <c r="DI59" s="47"/>
      <c r="DJ59" s="47"/>
      <c r="DK59" s="47"/>
      <c r="DL59" s="47"/>
      <c r="DM59" s="47"/>
      <c r="DN59" s="47"/>
      <c r="DO59" s="47"/>
      <c r="DP59" s="47"/>
      <c r="DQ59" s="47"/>
      <c r="DR59" s="47"/>
      <c r="DS59" s="47"/>
      <c r="DT59" s="47"/>
      <c r="DU59" s="47"/>
      <c r="DV59" s="47"/>
      <c r="DW59" s="47"/>
      <c r="DX59" s="47"/>
      <c r="DY59" s="47"/>
      <c r="DZ59" s="47"/>
      <c r="EA59" s="47"/>
      <c r="EB59" s="47"/>
      <c r="EC59" s="47"/>
      <c r="ED59" s="47"/>
      <c r="EE59" s="47"/>
      <c r="EF59" s="47"/>
      <c r="EG59" s="47"/>
      <c r="EH59" s="47"/>
      <c r="EI59" s="47"/>
      <c r="EJ59" s="47"/>
      <c r="EK59" s="47"/>
      <c r="EL59" s="47"/>
      <c r="EM59" s="47"/>
      <c r="EN59" s="47"/>
      <c r="EO59" s="47"/>
      <c r="EP59" s="47"/>
      <c r="EQ59" s="47"/>
      <c r="ER59" s="47"/>
      <c r="ES59" s="47"/>
      <c r="ET59" s="47"/>
      <c r="EU59" s="47"/>
      <c r="EV59" s="47"/>
      <c r="EW59" s="47"/>
      <c r="EX59" s="47"/>
      <c r="EY59" s="47"/>
      <c r="EZ59" s="47"/>
      <c r="FA59" s="47"/>
      <c r="FB59" s="47"/>
      <c r="FC59" s="47"/>
      <c r="FD59" s="47"/>
      <c r="FE59" s="47"/>
      <c r="FF59" s="47"/>
      <c r="FG59" s="47"/>
      <c r="FH59" s="47"/>
      <c r="FI59" s="47"/>
      <c r="FJ59" s="47"/>
      <c r="FK59" s="47"/>
      <c r="FL59" s="47"/>
      <c r="FM59" s="47"/>
      <c r="FN59" s="47"/>
      <c r="FO59" s="47"/>
      <c r="FP59" s="47"/>
      <c r="FQ59" s="47"/>
      <c r="FR59" s="47"/>
      <c r="FS59" s="47"/>
      <c r="FT59" s="47"/>
      <c r="FU59" s="47"/>
      <c r="FV59" s="47"/>
      <c r="FW59" s="47"/>
      <c r="FX59" s="47"/>
      <c r="FY59" s="47"/>
      <c r="FZ59" s="47"/>
      <c r="GA59" s="47"/>
      <c r="GB59" s="47"/>
      <c r="GC59" s="47"/>
      <c r="GD59" s="47"/>
      <c r="GE59" s="47"/>
      <c r="GF59" s="47"/>
      <c r="GG59" s="47"/>
      <c r="GH59" s="47"/>
      <c r="GI59" s="47"/>
      <c r="GJ59" s="47"/>
      <c r="GK59" s="47"/>
      <c r="GL59" s="47"/>
      <c r="GM59" s="47"/>
      <c r="GN59" s="47"/>
      <c r="GO59" s="47"/>
      <c r="GP59" s="47"/>
      <c r="GQ59" s="47"/>
      <c r="GR59" s="47"/>
      <c r="GS59" s="47"/>
      <c r="GT59" s="47"/>
      <c r="GU59" s="47"/>
      <c r="GV59" s="47"/>
      <c r="GW59" s="47"/>
      <c r="GX59" s="47"/>
      <c r="GY59" s="47"/>
      <c r="GZ59" s="47"/>
      <c r="HA59" s="47"/>
      <c r="HB59" s="47"/>
      <c r="HC59" s="47"/>
      <c r="HD59" s="47"/>
      <c r="HE59" s="47"/>
      <c r="HF59" s="47"/>
      <c r="HG59" s="47"/>
      <c r="HH59" s="47"/>
      <c r="HI59" s="47"/>
      <c r="HJ59" s="47"/>
      <c r="HK59" s="47"/>
      <c r="HL59" s="47"/>
      <c r="HM59" s="47"/>
      <c r="HN59" s="47"/>
      <c r="HO59" s="47"/>
      <c r="HP59" s="47"/>
      <c r="HQ59" s="47"/>
      <c r="HR59" s="47"/>
      <c r="HS59" s="47"/>
      <c r="HT59" s="47"/>
      <c r="HU59" s="47"/>
      <c r="HV59" s="47"/>
      <c r="HW59" s="47"/>
      <c r="HX59" s="47"/>
      <c r="HY59" s="47"/>
      <c r="HZ59" s="47"/>
      <c r="IA59" s="47"/>
      <c r="IB59" s="47"/>
      <c r="IC59" s="47"/>
      <c r="ID59" s="47"/>
      <c r="IE59" s="47"/>
      <c r="IF59" s="47"/>
      <c r="IG59" s="47"/>
      <c r="IH59" s="47"/>
      <c r="II59" s="47"/>
      <c r="IJ59" s="47"/>
      <c r="IK59" s="47"/>
      <c r="IL59" s="47"/>
      <c r="IM59" s="47"/>
      <c r="IN59" s="47"/>
      <c r="IO59" s="47"/>
      <c r="IP59" s="47"/>
      <c r="IQ59" s="47"/>
      <c r="IR59" s="47"/>
      <c r="IS59" s="47"/>
      <c r="IT59" s="47"/>
      <c r="IU59" s="47"/>
      <c r="IV59" s="47"/>
      <c r="IW59" s="47"/>
      <c r="IX59" s="47"/>
    </row>
    <row r="60" spans="1:258" s="9" customFormat="1" ht="27.95" customHeight="1" outlineLevel="1">
      <c r="A60" s="8"/>
      <c r="B60" s="2"/>
      <c r="C60" s="14" t="s">
        <v>99</v>
      </c>
      <c r="D60" s="3" t="s">
        <v>17</v>
      </c>
      <c r="E60" s="12" t="s">
        <v>100</v>
      </c>
      <c r="F60" s="40">
        <v>45986</v>
      </c>
      <c r="G60" s="41">
        <v>45986</v>
      </c>
      <c r="H60" s="77">
        <f t="shared" si="0"/>
        <v>1</v>
      </c>
      <c r="I60" s="78" t="s">
        <v>19</v>
      </c>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4.95" customHeight="1" outlineLevel="1">
      <c r="A61" s="8"/>
      <c r="B61" s="2"/>
      <c r="C61" s="14"/>
      <c r="D61" s="3"/>
      <c r="E61" s="12"/>
      <c r="F61" s="40"/>
      <c r="G61" s="40"/>
      <c r="H61" s="77"/>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4.95" customHeight="1" outlineLevel="1">
      <c r="A62" s="8"/>
      <c r="B62" s="2"/>
      <c r="C62" s="14"/>
      <c r="D62" s="3"/>
      <c r="E62" s="12"/>
      <c r="F62" s="40"/>
      <c r="G62" s="40"/>
      <c r="H62" s="77"/>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4.95" customHeight="1" outlineLevel="1">
      <c r="A63" s="8"/>
      <c r="B63" s="2"/>
      <c r="C63" s="14"/>
      <c r="D63" s="3"/>
      <c r="E63" s="12"/>
      <c r="F63" s="40"/>
      <c r="G63" s="40"/>
      <c r="H63" s="77"/>
      <c r="I63" s="2"/>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s="9" customFormat="1" ht="24.95" customHeight="1" outlineLevel="1">
      <c r="A64" s="8"/>
      <c r="B64" s="2"/>
      <c r="C64" s="14"/>
      <c r="D64" s="3"/>
      <c r="E64" s="12"/>
      <c r="F64" s="40"/>
      <c r="G64" s="40"/>
      <c r="H64" s="77"/>
      <c r="I64" s="2"/>
      <c r="J64" s="8"/>
      <c r="K64" s="1"/>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row>
    <row r="65" spans="1:258" s="9" customFormat="1" ht="24.95" customHeight="1" outlineLevel="1">
      <c r="A65" s="8"/>
      <c r="B65" s="2"/>
      <c r="C65" s="14"/>
      <c r="D65" s="3"/>
      <c r="E65" s="12"/>
      <c r="F65" s="40"/>
      <c r="G65" s="40"/>
      <c r="H65" s="77"/>
      <c r="I65" s="2"/>
      <c r="J65" s="8"/>
      <c r="K65" s="1"/>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8"/>
      <c r="HT65" s="8"/>
      <c r="HU65" s="8"/>
      <c r="HV65" s="8"/>
      <c r="HW65" s="8"/>
      <c r="HX65" s="8"/>
      <c r="HY65" s="8"/>
      <c r="HZ65" s="8"/>
      <c r="IA65" s="8"/>
      <c r="IB65" s="8"/>
      <c r="IC65" s="8"/>
      <c r="ID65" s="8"/>
      <c r="IE65" s="8"/>
      <c r="IF65" s="8"/>
      <c r="IG65" s="8"/>
      <c r="IH65" s="8"/>
      <c r="II65" s="8"/>
      <c r="IJ65" s="8"/>
      <c r="IK65" s="8"/>
      <c r="IL65" s="8"/>
      <c r="IM65" s="8"/>
      <c r="IN65" s="8"/>
      <c r="IO65" s="8"/>
      <c r="IP65" s="8"/>
      <c r="IQ65" s="8"/>
      <c r="IR65" s="8"/>
      <c r="IS65" s="8"/>
      <c r="IT65" s="8"/>
      <c r="IU65" s="8"/>
      <c r="IV65" s="8"/>
      <c r="IW65" s="8"/>
      <c r="IX65" s="8"/>
    </row>
    <row r="66" spans="1:258" s="9" customFormat="1" ht="24.95" customHeight="1" outlineLevel="1">
      <c r="A66" s="8"/>
      <c r="B66" s="2"/>
      <c r="C66" s="14"/>
      <c r="D66" s="3"/>
      <c r="E66" s="12"/>
      <c r="F66" s="40"/>
      <c r="G66" s="40"/>
      <c r="H66" s="77"/>
      <c r="I66" s="2"/>
      <c r="J66" s="8"/>
      <c r="K66" s="1"/>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row>
    <row r="67" spans="1:258" s="9" customFormat="1" ht="24.95" customHeight="1" outlineLevel="1">
      <c r="A67" s="8"/>
      <c r="B67" s="2"/>
      <c r="C67" s="14"/>
      <c r="D67" s="3"/>
      <c r="E67" s="12"/>
      <c r="F67" s="40"/>
      <c r="G67" s="40"/>
      <c r="H67" s="77"/>
      <c r="I67" s="2"/>
      <c r="J67" s="8"/>
      <c r="K67" s="1"/>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row>
    <row r="68" spans="1:258" s="9" customFormat="1" ht="24.95" customHeight="1" outlineLevel="1">
      <c r="A68" s="8"/>
      <c r="B68" s="2"/>
      <c r="C68" s="14"/>
      <c r="D68" s="3"/>
      <c r="E68" s="12"/>
      <c r="F68" s="40"/>
      <c r="G68" s="40"/>
      <c r="H68" s="77"/>
      <c r="I68" s="2"/>
      <c r="J68" s="8"/>
      <c r="K68" s="1"/>
      <c r="L68" s="8"/>
      <c r="M68" s="8"/>
      <c r="N68" s="8"/>
      <c r="O68" s="8"/>
      <c r="P68" s="8"/>
      <c r="Q68" s="8"/>
      <c r="R68" s="8"/>
      <c r="S68" s="8"/>
      <c r="T68" s="8"/>
      <c r="U68" s="8"/>
      <c r="V68" s="8"/>
      <c r="W68" s="8" t="s">
        <v>101</v>
      </c>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row>
    <row r="69" spans="1:258" s="9" customFormat="1" ht="24.95" customHeight="1" outlineLevel="1">
      <c r="A69" s="8"/>
      <c r="B69" s="2"/>
      <c r="C69" s="14"/>
      <c r="D69" s="3"/>
      <c r="E69" s="12"/>
      <c r="F69" s="40"/>
      <c r="G69" s="40"/>
      <c r="H69" s="77"/>
      <c r="I69" s="2"/>
      <c r="J69" s="8"/>
      <c r="K69" s="1"/>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row>
    <row r="70" spans="1:258" s="9" customFormat="1" ht="24.95" customHeight="1" outlineLevel="1">
      <c r="A70" s="8"/>
      <c r="B70" s="2"/>
      <c r="C70" s="14"/>
      <c r="D70" s="3"/>
      <c r="E70" s="12"/>
      <c r="F70" s="40"/>
      <c r="G70" s="40"/>
      <c r="H70" s="77"/>
      <c r="I70" s="2"/>
      <c r="J70" s="8"/>
      <c r="K70" s="54"/>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c r="IW70" s="8"/>
      <c r="IX70" s="8"/>
    </row>
    <row r="71" spans="1:258" s="9" customFormat="1" ht="24.95" customHeight="1" outlineLevel="1">
      <c r="A71" s="8"/>
      <c r="B71" s="2"/>
      <c r="C71" s="14" t="s">
        <v>23</v>
      </c>
      <c r="D71" s="3" t="s">
        <v>15</v>
      </c>
      <c r="E71" s="13"/>
      <c r="F71" s="40">
        <v>45983</v>
      </c>
      <c r="G71" s="40">
        <v>45999</v>
      </c>
      <c r="H71" s="77">
        <f t="shared" si="0"/>
        <v>17</v>
      </c>
      <c r="I71" s="2"/>
      <c r="J71" s="8"/>
      <c r="K71" s="1"/>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row>
    <row r="72" spans="1:258" s="9" customFormat="1" ht="24.95" customHeight="1" outlineLevel="1" thickBot="1">
      <c r="A72" s="8"/>
      <c r="B72" s="16"/>
      <c r="C72" s="14" t="s">
        <v>24</v>
      </c>
      <c r="D72" s="15" t="s">
        <v>15</v>
      </c>
      <c r="E72" s="17"/>
      <c r="F72" s="42">
        <v>45992</v>
      </c>
      <c r="G72" s="43">
        <v>45992</v>
      </c>
      <c r="H72" s="77">
        <f t="shared" si="0"/>
        <v>1</v>
      </c>
      <c r="I72" s="16"/>
      <c r="J72" s="8"/>
      <c r="K72" s="1"/>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row>
    <row r="73" spans="1:258" s="55" customFormat="1" ht="24.95" customHeight="1">
      <c r="A73" s="47"/>
      <c r="B73" s="68"/>
      <c r="C73" s="68" t="s">
        <v>102</v>
      </c>
      <c r="D73" s="69"/>
      <c r="E73" s="70"/>
      <c r="F73" s="71">
        <f>MIN(F74:F86)</f>
        <v>45978</v>
      </c>
      <c r="G73" s="72">
        <f>MAX(G74:G86)</f>
        <v>45999</v>
      </c>
      <c r="H73" s="74">
        <f t="shared" si="0"/>
        <v>22</v>
      </c>
      <c r="I73" s="73"/>
      <c r="J73" s="47"/>
      <c r="K73" s="1"/>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L73" s="47"/>
      <c r="DM73" s="47"/>
      <c r="DN73" s="47"/>
      <c r="DO73" s="47"/>
      <c r="DP73" s="47"/>
      <c r="DQ73" s="47"/>
      <c r="DR73" s="47"/>
      <c r="DS73" s="47"/>
      <c r="DT73" s="47"/>
      <c r="DU73" s="47"/>
      <c r="DV73" s="47"/>
      <c r="DW73" s="47"/>
      <c r="DX73" s="47"/>
      <c r="DY73" s="47"/>
      <c r="DZ73" s="47"/>
      <c r="EA73" s="47"/>
      <c r="EB73" s="47"/>
      <c r="EC73" s="47"/>
      <c r="ED73" s="47"/>
      <c r="EE73" s="47"/>
      <c r="EF73" s="47"/>
      <c r="EG73" s="47"/>
      <c r="EH73" s="47"/>
      <c r="EI73" s="47"/>
      <c r="EJ73" s="47"/>
      <c r="EK73" s="47"/>
      <c r="EL73" s="47"/>
      <c r="EM73" s="47"/>
      <c r="EN73" s="47"/>
      <c r="EO73" s="47"/>
      <c r="EP73" s="47"/>
      <c r="EQ73" s="47"/>
      <c r="ER73" s="47"/>
      <c r="ES73" s="47"/>
      <c r="ET73" s="47"/>
      <c r="EU73" s="47"/>
      <c r="EV73" s="47"/>
      <c r="EW73" s="47"/>
      <c r="EX73" s="47"/>
      <c r="EY73" s="47"/>
      <c r="EZ73" s="47"/>
      <c r="FA73" s="47"/>
      <c r="FB73" s="47"/>
      <c r="FC73" s="47"/>
      <c r="FD73" s="47"/>
      <c r="FE73" s="47"/>
      <c r="FF73" s="47"/>
      <c r="FG73" s="47"/>
      <c r="FH73" s="47"/>
      <c r="FI73" s="47"/>
      <c r="FJ73" s="47"/>
      <c r="FK73" s="47"/>
      <c r="FL73" s="47"/>
      <c r="FM73" s="47"/>
      <c r="FN73" s="47"/>
      <c r="FO73" s="47"/>
      <c r="FP73" s="47"/>
      <c r="FQ73" s="47"/>
      <c r="FR73" s="47"/>
      <c r="FS73" s="47"/>
      <c r="FT73" s="47"/>
      <c r="FU73" s="47"/>
      <c r="FV73" s="47"/>
      <c r="FW73" s="47"/>
      <c r="FX73" s="47"/>
      <c r="FY73" s="47"/>
      <c r="FZ73" s="47"/>
      <c r="GA73" s="47"/>
      <c r="GB73" s="47"/>
      <c r="GC73" s="47"/>
      <c r="GD73" s="47"/>
      <c r="GE73" s="47"/>
      <c r="GF73" s="47"/>
      <c r="GG73" s="47"/>
      <c r="GH73" s="47"/>
      <c r="GI73" s="47"/>
      <c r="GJ73" s="47"/>
      <c r="GK73" s="47"/>
      <c r="GL73" s="47"/>
      <c r="GM73" s="47"/>
      <c r="GN73" s="47"/>
      <c r="GO73" s="47"/>
      <c r="GP73" s="47"/>
      <c r="GQ73" s="47"/>
      <c r="GR73" s="47"/>
      <c r="GS73" s="47"/>
      <c r="GT73" s="47"/>
      <c r="GU73" s="47"/>
      <c r="GV73" s="47"/>
      <c r="GW73" s="47"/>
      <c r="GX73" s="47"/>
      <c r="GY73" s="47"/>
      <c r="GZ73" s="47"/>
      <c r="HA73" s="47"/>
      <c r="HB73" s="47"/>
      <c r="HC73" s="47"/>
      <c r="HD73" s="47"/>
      <c r="HE73" s="47"/>
      <c r="HF73" s="47"/>
      <c r="HG73" s="47"/>
      <c r="HH73" s="47"/>
      <c r="HI73" s="47"/>
      <c r="HJ73" s="47"/>
      <c r="HK73" s="47"/>
      <c r="HL73" s="47"/>
      <c r="HM73" s="47"/>
      <c r="HN73" s="47"/>
      <c r="HO73" s="47"/>
      <c r="HP73" s="47"/>
      <c r="HQ73" s="47"/>
      <c r="HR73" s="47"/>
      <c r="HS73" s="47"/>
      <c r="HT73" s="47"/>
      <c r="HU73" s="47"/>
      <c r="HV73" s="47"/>
      <c r="HW73" s="47"/>
      <c r="HX73" s="47"/>
      <c r="HY73" s="47"/>
      <c r="HZ73" s="47"/>
      <c r="IA73" s="47"/>
      <c r="IB73" s="47"/>
      <c r="IC73" s="47"/>
      <c r="ID73" s="47"/>
      <c r="IE73" s="47"/>
      <c r="IF73" s="47"/>
      <c r="IG73" s="47"/>
      <c r="IH73" s="47"/>
      <c r="II73" s="47"/>
      <c r="IJ73" s="47"/>
      <c r="IK73" s="47"/>
      <c r="IL73" s="47"/>
      <c r="IM73" s="47"/>
      <c r="IN73" s="47"/>
      <c r="IO73" s="47"/>
      <c r="IP73" s="47"/>
      <c r="IQ73" s="47"/>
      <c r="IR73" s="47"/>
      <c r="IS73" s="47"/>
      <c r="IT73" s="47"/>
      <c r="IU73" s="47"/>
      <c r="IV73" s="47"/>
      <c r="IW73" s="47"/>
      <c r="IX73" s="47"/>
    </row>
    <row r="74" spans="1:258" s="9" customFormat="1" ht="33" customHeight="1" outlineLevel="1">
      <c r="A74" s="8"/>
      <c r="B74" s="2"/>
      <c r="C74" s="14" t="s">
        <v>103</v>
      </c>
      <c r="D74" s="3" t="s">
        <v>17</v>
      </c>
      <c r="E74" s="13" t="s">
        <v>104</v>
      </c>
      <c r="F74" s="40">
        <v>45978</v>
      </c>
      <c r="G74" s="40">
        <v>45978</v>
      </c>
      <c r="H74" s="33">
        <f t="shared" si="0"/>
        <v>1</v>
      </c>
      <c r="I74" s="78" t="s">
        <v>19</v>
      </c>
      <c r="J74" s="8"/>
      <c r="K74" s="1"/>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row>
    <row r="75" spans="1:258" s="9" customFormat="1" ht="24.95" customHeight="1" outlineLevel="1">
      <c r="A75" s="8"/>
      <c r="B75" s="2"/>
      <c r="C75" s="14"/>
      <c r="D75" s="3"/>
      <c r="E75" s="13"/>
      <c r="F75" s="40"/>
      <c r="G75" s="40"/>
      <c r="H75" s="33"/>
      <c r="I75" s="2"/>
      <c r="J75" s="8"/>
      <c r="K75" s="1"/>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row>
    <row r="76" spans="1:258" s="9" customFormat="1" ht="24.95" customHeight="1" outlineLevel="1">
      <c r="A76" s="8"/>
      <c r="B76" s="2"/>
      <c r="C76" s="14"/>
      <c r="D76" s="3"/>
      <c r="E76" s="13"/>
      <c r="F76" s="40"/>
      <c r="G76" s="40"/>
      <c r="H76" s="33"/>
      <c r="I76" s="2"/>
      <c r="J76" s="8"/>
      <c r="K76" s="1"/>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c r="EZ76" s="8"/>
      <c r="FA76" s="8"/>
      <c r="FB76" s="8"/>
      <c r="FC76" s="8"/>
      <c r="FD76" s="8"/>
      <c r="FE76" s="8"/>
      <c r="FF76" s="8"/>
      <c r="FG76" s="8"/>
      <c r="FH76" s="8"/>
      <c r="FI76" s="8"/>
      <c r="FJ76" s="8"/>
      <c r="FK76" s="8"/>
      <c r="FL76" s="8"/>
      <c r="FM76" s="8"/>
      <c r="FN76" s="8"/>
      <c r="FO76" s="8"/>
      <c r="FP76" s="8"/>
      <c r="FQ76" s="8"/>
      <c r="FR76" s="8"/>
      <c r="FS76" s="8"/>
      <c r="FT76" s="8"/>
      <c r="FU76" s="8"/>
      <c r="FV76" s="8"/>
      <c r="FW76" s="8"/>
      <c r="FX76" s="8"/>
      <c r="FY76" s="8"/>
      <c r="FZ76" s="8"/>
      <c r="GA76" s="8"/>
      <c r="GB76" s="8"/>
      <c r="GC76" s="8"/>
      <c r="GD76" s="8"/>
      <c r="GE76" s="8"/>
      <c r="GF76" s="8"/>
      <c r="GG76" s="8"/>
      <c r="GH76" s="8"/>
      <c r="GI76" s="8"/>
      <c r="GJ76" s="8"/>
      <c r="GK76" s="8"/>
      <c r="GL76" s="8"/>
      <c r="GM76" s="8"/>
      <c r="GN76" s="8"/>
      <c r="GO76" s="8"/>
      <c r="GP76" s="8"/>
      <c r="GQ76" s="8"/>
      <c r="GR76" s="8"/>
      <c r="GS76" s="8"/>
      <c r="GT76" s="8"/>
      <c r="GU76" s="8"/>
      <c r="GV76" s="8"/>
      <c r="GW76" s="8"/>
      <c r="GX76" s="8"/>
      <c r="GY76" s="8"/>
      <c r="GZ76" s="8"/>
      <c r="HA76" s="8"/>
      <c r="HB76" s="8"/>
      <c r="HC76" s="8"/>
      <c r="HD76" s="8"/>
      <c r="HE76" s="8"/>
      <c r="HF76" s="8"/>
      <c r="HG76" s="8"/>
      <c r="HH76" s="8"/>
      <c r="HI76" s="8"/>
      <c r="HJ76" s="8"/>
      <c r="HK76" s="8"/>
      <c r="HL76" s="8"/>
      <c r="HM76" s="8"/>
      <c r="HN76" s="8"/>
      <c r="HO76" s="8"/>
      <c r="HP76" s="8"/>
      <c r="HQ76" s="8"/>
      <c r="HR76" s="8"/>
      <c r="HS76" s="8"/>
      <c r="HT76" s="8"/>
      <c r="HU76" s="8"/>
      <c r="HV76" s="8"/>
      <c r="HW76" s="8"/>
      <c r="HX76" s="8"/>
      <c r="HY76" s="8"/>
      <c r="HZ76" s="8"/>
      <c r="IA76" s="8"/>
      <c r="IB76" s="8"/>
      <c r="IC76" s="8"/>
      <c r="ID76" s="8"/>
      <c r="IE76" s="8"/>
      <c r="IF76" s="8"/>
      <c r="IG76" s="8"/>
      <c r="IH76" s="8"/>
      <c r="II76" s="8"/>
      <c r="IJ76" s="8"/>
      <c r="IK76" s="8"/>
      <c r="IL76" s="8"/>
      <c r="IM76" s="8"/>
      <c r="IN76" s="8"/>
      <c r="IO76" s="8"/>
      <c r="IP76" s="8"/>
      <c r="IQ76" s="8"/>
      <c r="IR76" s="8"/>
      <c r="IS76" s="8"/>
      <c r="IT76" s="8"/>
      <c r="IU76" s="8"/>
      <c r="IV76" s="8"/>
      <c r="IW76" s="8"/>
      <c r="IX76" s="8"/>
    </row>
    <row r="77" spans="1:258" s="9" customFormat="1" ht="24.95" customHeight="1" outlineLevel="1">
      <c r="A77" s="8"/>
      <c r="B77" s="2"/>
      <c r="C77" s="14"/>
      <c r="D77" s="3"/>
      <c r="E77" s="13"/>
      <c r="F77" s="40"/>
      <c r="G77" s="40"/>
      <c r="H77" s="33"/>
      <c r="I77" s="2"/>
      <c r="J77" s="8"/>
      <c r="K77" s="1"/>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row>
    <row r="78" spans="1:258" s="9" customFormat="1" ht="24.95" customHeight="1" outlineLevel="1">
      <c r="A78" s="8"/>
      <c r="B78" s="2"/>
      <c r="C78" s="14"/>
      <c r="D78" s="3"/>
      <c r="E78" s="13"/>
      <c r="F78" s="40"/>
      <c r="G78" s="40"/>
      <c r="H78" s="33"/>
      <c r="I78" s="2"/>
      <c r="J78" s="8"/>
      <c r="K78" s="1"/>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row>
    <row r="79" spans="1:258" s="9" customFormat="1" ht="24.95" customHeight="1" outlineLevel="1">
      <c r="A79" s="8"/>
      <c r="B79" s="2"/>
      <c r="C79" s="14"/>
      <c r="D79" s="3"/>
      <c r="E79" s="13"/>
      <c r="F79" s="40"/>
      <c r="G79" s="40"/>
      <c r="H79" s="33"/>
      <c r="I79" s="2"/>
      <c r="J79" s="8"/>
      <c r="K79" s="1"/>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c r="EF79" s="8"/>
      <c r="EG79" s="8"/>
      <c r="EH79" s="8"/>
      <c r="EI79" s="8"/>
      <c r="EJ79" s="8"/>
      <c r="EK79" s="8"/>
      <c r="EL79" s="8"/>
      <c r="EM79" s="8"/>
      <c r="EN79" s="8"/>
      <c r="EO79" s="8"/>
      <c r="EP79" s="8"/>
      <c r="EQ79" s="8"/>
      <c r="ER79" s="8"/>
      <c r="ES79" s="8"/>
      <c r="ET79" s="8"/>
      <c r="EU79" s="8"/>
      <c r="EV79" s="8"/>
      <c r="EW79" s="8"/>
      <c r="EX79" s="8"/>
      <c r="EY79" s="8"/>
      <c r="EZ79" s="8"/>
      <c r="FA79" s="8"/>
      <c r="FB79" s="8"/>
      <c r="FC79" s="8"/>
      <c r="FD79" s="8"/>
      <c r="FE79" s="8"/>
      <c r="FF79" s="8"/>
      <c r="FG79" s="8"/>
      <c r="FH79" s="8"/>
      <c r="FI79" s="8"/>
      <c r="FJ79" s="8"/>
      <c r="FK79" s="8"/>
      <c r="FL79" s="8"/>
      <c r="FM79" s="8"/>
      <c r="FN79" s="8"/>
      <c r="FO79" s="8"/>
      <c r="FP79" s="8"/>
      <c r="FQ79" s="8"/>
      <c r="FR79" s="8"/>
      <c r="FS79" s="8"/>
      <c r="FT79" s="8"/>
      <c r="FU79" s="8"/>
      <c r="FV79" s="8"/>
      <c r="FW79" s="8"/>
      <c r="FX79" s="8"/>
      <c r="FY79" s="8"/>
      <c r="FZ79" s="8"/>
      <c r="GA79" s="8"/>
      <c r="GB79" s="8"/>
      <c r="GC79" s="8"/>
      <c r="GD79" s="8"/>
      <c r="GE79" s="8"/>
      <c r="GF79" s="8"/>
      <c r="GG79" s="8"/>
      <c r="GH79" s="8"/>
      <c r="GI79" s="8"/>
      <c r="GJ79" s="8"/>
      <c r="GK79" s="8"/>
      <c r="GL79" s="8"/>
      <c r="GM79" s="8"/>
      <c r="GN79" s="8"/>
      <c r="GO79" s="8"/>
      <c r="GP79" s="8"/>
      <c r="GQ79" s="8"/>
      <c r="GR79" s="8"/>
      <c r="GS79" s="8"/>
      <c r="GT79" s="8"/>
      <c r="GU79" s="8"/>
      <c r="GV79" s="8"/>
      <c r="GW79" s="8"/>
      <c r="GX79" s="8"/>
      <c r="GY79" s="8"/>
      <c r="GZ79" s="8"/>
      <c r="HA79" s="8"/>
      <c r="HB79" s="8"/>
      <c r="HC79" s="8"/>
      <c r="HD79" s="8"/>
      <c r="HE79" s="8"/>
      <c r="HF79" s="8"/>
      <c r="HG79" s="8"/>
      <c r="HH79" s="8"/>
      <c r="HI79" s="8"/>
      <c r="HJ79" s="8"/>
      <c r="HK79" s="8"/>
      <c r="HL79" s="8"/>
      <c r="HM79" s="8"/>
      <c r="HN79" s="8"/>
      <c r="HO79" s="8"/>
      <c r="HP79" s="8"/>
      <c r="HQ79" s="8"/>
      <c r="HR79" s="8"/>
      <c r="HS79" s="8"/>
      <c r="HT79" s="8"/>
      <c r="HU79" s="8"/>
      <c r="HV79" s="8"/>
      <c r="HW79" s="8"/>
      <c r="HX79" s="8"/>
      <c r="HY79" s="8"/>
      <c r="HZ79" s="8"/>
      <c r="IA79" s="8"/>
      <c r="IB79" s="8"/>
      <c r="IC79" s="8"/>
      <c r="ID79" s="8"/>
      <c r="IE79" s="8"/>
      <c r="IF79" s="8"/>
      <c r="IG79" s="8"/>
      <c r="IH79" s="8"/>
      <c r="II79" s="8"/>
      <c r="IJ79" s="8"/>
      <c r="IK79" s="8"/>
      <c r="IL79" s="8"/>
      <c r="IM79" s="8"/>
      <c r="IN79" s="8"/>
      <c r="IO79" s="8"/>
      <c r="IP79" s="8"/>
      <c r="IQ79" s="8"/>
      <c r="IR79" s="8"/>
      <c r="IS79" s="8"/>
      <c r="IT79" s="8"/>
      <c r="IU79" s="8"/>
      <c r="IV79" s="8"/>
      <c r="IW79" s="8"/>
      <c r="IX79" s="8"/>
    </row>
    <row r="80" spans="1:258" s="9" customFormat="1" ht="24.95" customHeight="1" outlineLevel="1">
      <c r="A80" s="8"/>
      <c r="B80" s="2"/>
      <c r="C80" s="14"/>
      <c r="D80" s="3"/>
      <c r="E80" s="13"/>
      <c r="F80" s="40"/>
      <c r="G80" s="40"/>
      <c r="H80" s="33"/>
      <c r="I80" s="2"/>
      <c r="J80" s="8"/>
      <c r="K80" s="1"/>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c r="EG80" s="8"/>
      <c r="EH80" s="8"/>
      <c r="EI80" s="8"/>
      <c r="EJ80" s="8"/>
      <c r="EK80" s="8"/>
      <c r="EL80" s="8"/>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row>
    <row r="81" spans="1:258" s="9" customFormat="1" ht="24.95" customHeight="1" outlineLevel="1">
      <c r="A81" s="8"/>
      <c r="B81" s="2"/>
      <c r="C81" s="14"/>
      <c r="D81" s="3"/>
      <c r="E81" s="13"/>
      <c r="F81" s="40"/>
      <c r="G81" s="40"/>
      <c r="H81" s="33"/>
      <c r="I81" s="2"/>
      <c r="J81" s="8"/>
      <c r="K81" s="1"/>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8"/>
      <c r="EB81" s="8"/>
      <c r="EC81" s="8"/>
      <c r="ED81" s="8"/>
      <c r="EE81" s="8"/>
      <c r="EF81" s="8"/>
      <c r="EG81" s="8"/>
      <c r="EH81" s="8"/>
      <c r="EI81" s="8"/>
      <c r="EJ81" s="8"/>
      <c r="EK81" s="8"/>
      <c r="EL81" s="8"/>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row>
    <row r="82" spans="1:258" s="9" customFormat="1" ht="24.95" customHeight="1" outlineLevel="1">
      <c r="A82" s="8"/>
      <c r="B82" s="2"/>
      <c r="C82" s="14"/>
      <c r="D82" s="3"/>
      <c r="E82" s="13"/>
      <c r="F82" s="40"/>
      <c r="G82" s="40"/>
      <c r="H82" s="33"/>
      <c r="I82" s="2"/>
      <c r="J82" s="8"/>
      <c r="K82" s="1"/>
      <c r="L82" s="8"/>
      <c r="M82" s="8"/>
      <c r="N82" s="8"/>
      <c r="O82" s="8"/>
      <c r="P82" s="8"/>
      <c r="Q82" s="8"/>
      <c r="R82" s="8"/>
      <c r="S82" s="8"/>
      <c r="T82" s="8"/>
      <c r="U82" s="8"/>
      <c r="V82" s="8"/>
      <c r="W82" s="44" t="s">
        <v>105</v>
      </c>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8"/>
      <c r="DY82" s="8"/>
      <c r="DZ82" s="8"/>
      <c r="EA82" s="8"/>
      <c r="EB82" s="8"/>
      <c r="EC82" s="8"/>
      <c r="ED82" s="8"/>
      <c r="EE82" s="8"/>
      <c r="EF82" s="8"/>
      <c r="EG82" s="8"/>
      <c r="EH82" s="8"/>
      <c r="EI82" s="8"/>
      <c r="EJ82" s="8"/>
      <c r="EK82" s="8"/>
      <c r="EL82" s="8"/>
      <c r="EM82" s="8"/>
      <c r="EN82" s="8"/>
      <c r="EO82" s="8"/>
      <c r="EP82" s="8"/>
      <c r="EQ82" s="8"/>
      <c r="ER82" s="8"/>
      <c r="ES82" s="8"/>
      <c r="ET82" s="8"/>
      <c r="EU82" s="8"/>
      <c r="EV82" s="8"/>
      <c r="EW82" s="8"/>
      <c r="EX82" s="8"/>
      <c r="EY82" s="8"/>
      <c r="EZ82" s="8"/>
      <c r="FA82" s="8"/>
      <c r="FB82" s="8"/>
      <c r="FC82" s="8"/>
      <c r="FD82" s="8"/>
      <c r="FE82" s="8"/>
      <c r="FF82" s="8"/>
      <c r="FG82" s="8"/>
      <c r="FH82" s="8"/>
      <c r="FI82" s="8"/>
      <c r="FJ82" s="8"/>
      <c r="FK82" s="8"/>
      <c r="FL82" s="8"/>
      <c r="FM82" s="8"/>
      <c r="FN82" s="8"/>
      <c r="FO82" s="8"/>
      <c r="FP82" s="8"/>
      <c r="FQ82" s="8"/>
      <c r="FR82" s="8"/>
      <c r="FS82" s="8"/>
      <c r="FT82" s="8"/>
      <c r="FU82" s="8"/>
      <c r="FV82" s="8"/>
      <c r="FW82" s="8"/>
      <c r="FX82" s="8"/>
      <c r="FY82" s="8"/>
      <c r="FZ82" s="8"/>
      <c r="GA82" s="8"/>
      <c r="GB82" s="8"/>
      <c r="GC82" s="8"/>
      <c r="GD82" s="8"/>
      <c r="GE82" s="8"/>
      <c r="GF82" s="8"/>
      <c r="GG82" s="8"/>
      <c r="GH82" s="8"/>
      <c r="GI82" s="8"/>
      <c r="GJ82" s="8"/>
      <c r="GK82" s="8"/>
      <c r="GL82" s="8"/>
      <c r="GM82" s="8"/>
      <c r="GN82" s="8"/>
      <c r="GO82" s="8"/>
      <c r="GP82" s="8"/>
      <c r="GQ82" s="8"/>
      <c r="GR82" s="8"/>
      <c r="GS82" s="8"/>
      <c r="GT82" s="8"/>
      <c r="GU82" s="8"/>
      <c r="GV82" s="8"/>
      <c r="GW82" s="8"/>
      <c r="GX82" s="8"/>
      <c r="GY82" s="8"/>
      <c r="GZ82" s="8"/>
      <c r="HA82" s="8"/>
      <c r="HB82" s="8"/>
      <c r="HC82" s="8"/>
      <c r="HD82" s="8"/>
      <c r="HE82" s="8"/>
      <c r="HF82" s="8"/>
      <c r="HG82" s="8"/>
      <c r="HH82" s="8"/>
      <c r="HI82" s="8"/>
      <c r="HJ82" s="8"/>
      <c r="HK82" s="8"/>
      <c r="HL82" s="8"/>
      <c r="HM82" s="8"/>
      <c r="HN82" s="8"/>
      <c r="HO82" s="8"/>
      <c r="HP82" s="8"/>
      <c r="HQ82" s="8"/>
      <c r="HR82" s="8"/>
      <c r="HS82" s="8"/>
      <c r="HT82" s="8"/>
      <c r="HU82" s="8"/>
      <c r="HV82" s="8"/>
      <c r="HW82" s="8"/>
      <c r="HX82" s="8"/>
      <c r="HY82" s="8"/>
      <c r="HZ82" s="8"/>
      <c r="IA82" s="8"/>
      <c r="IB82" s="8"/>
      <c r="IC82" s="8"/>
      <c r="ID82" s="8"/>
      <c r="IE82" s="8"/>
      <c r="IF82" s="8"/>
      <c r="IG82" s="8"/>
      <c r="IH82" s="8"/>
      <c r="II82" s="8"/>
      <c r="IJ82" s="8"/>
      <c r="IK82" s="8"/>
      <c r="IL82" s="8"/>
      <c r="IM82" s="8"/>
      <c r="IN82" s="8"/>
      <c r="IO82" s="8"/>
      <c r="IP82" s="8"/>
      <c r="IQ82" s="8"/>
      <c r="IR82" s="8"/>
      <c r="IS82" s="8"/>
      <c r="IT82" s="8"/>
      <c r="IU82" s="8"/>
      <c r="IV82" s="8"/>
      <c r="IW82" s="8"/>
      <c r="IX82" s="8"/>
    </row>
    <row r="83" spans="1:258" s="9" customFormat="1" ht="24.95" customHeight="1" outlineLevel="1">
      <c r="A83" s="8"/>
      <c r="B83" s="2"/>
      <c r="C83" s="14"/>
      <c r="D83" s="3"/>
      <c r="E83" s="13"/>
      <c r="F83" s="40"/>
      <c r="G83" s="40"/>
      <c r="H83" s="33"/>
      <c r="I83" s="2"/>
      <c r="J83" s="8"/>
      <c r="K83" s="1"/>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row>
    <row r="84" spans="1:258" s="9" customFormat="1" ht="24.95" customHeight="1" outlineLevel="1">
      <c r="A84" s="8"/>
      <c r="B84" s="2"/>
      <c r="C84" s="14"/>
      <c r="D84" s="3"/>
      <c r="E84" s="13"/>
      <c r="F84" s="40"/>
      <c r="G84" s="40"/>
      <c r="H84" s="33"/>
      <c r="I84" s="2"/>
      <c r="J84" s="8"/>
      <c r="K84" s="1"/>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row>
    <row r="85" spans="1:258" s="9" customFormat="1" ht="24.95" customHeight="1" outlineLevel="1">
      <c r="A85" s="8"/>
      <c r="B85" s="2"/>
      <c r="C85" s="14" t="s">
        <v>23</v>
      </c>
      <c r="D85" s="3" t="s">
        <v>15</v>
      </c>
      <c r="E85" s="13"/>
      <c r="F85" s="40">
        <v>45983</v>
      </c>
      <c r="G85" s="40">
        <v>45999</v>
      </c>
      <c r="H85" s="33">
        <f t="shared" si="0"/>
        <v>17</v>
      </c>
      <c r="I85" s="2"/>
      <c r="J85" s="8"/>
      <c r="K85" s="1"/>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c r="EN85" s="8"/>
      <c r="EO85" s="8"/>
      <c r="EP85" s="8"/>
      <c r="EQ85" s="8"/>
      <c r="ER85" s="8"/>
      <c r="ES85" s="8"/>
      <c r="ET85" s="8"/>
      <c r="EU85" s="8"/>
      <c r="EV85" s="8"/>
      <c r="EW85" s="8"/>
      <c r="EX85" s="8"/>
      <c r="EY85" s="8"/>
      <c r="EZ85" s="8"/>
      <c r="FA85" s="8"/>
      <c r="FB85" s="8"/>
      <c r="FC85" s="8"/>
      <c r="FD85" s="8"/>
      <c r="FE85" s="8"/>
      <c r="FF85" s="8"/>
      <c r="FG85" s="8"/>
      <c r="FH85" s="8"/>
      <c r="FI85" s="8"/>
      <c r="FJ85" s="8"/>
      <c r="FK85" s="8"/>
      <c r="FL85" s="8"/>
      <c r="FM85" s="8"/>
      <c r="FN85" s="8"/>
      <c r="FO85" s="8"/>
      <c r="FP85" s="8"/>
      <c r="FQ85" s="8"/>
      <c r="FR85" s="8"/>
      <c r="FS85" s="8"/>
      <c r="FT85" s="8"/>
      <c r="FU85" s="8"/>
      <c r="FV85" s="8"/>
      <c r="FW85" s="8"/>
      <c r="FX85" s="8"/>
      <c r="FY85" s="8"/>
      <c r="FZ85" s="8"/>
      <c r="GA85" s="8"/>
      <c r="GB85" s="8"/>
      <c r="GC85" s="8"/>
      <c r="GD85" s="8"/>
      <c r="GE85" s="8"/>
      <c r="GF85" s="8"/>
      <c r="GG85" s="8"/>
      <c r="GH85" s="8"/>
      <c r="GI85" s="8"/>
      <c r="GJ85" s="8"/>
      <c r="GK85" s="8"/>
      <c r="GL85" s="8"/>
      <c r="GM85" s="8"/>
      <c r="GN85" s="8"/>
      <c r="GO85" s="8"/>
      <c r="GP85" s="8"/>
      <c r="GQ85" s="8"/>
      <c r="GR85" s="8"/>
      <c r="GS85" s="8"/>
      <c r="GT85" s="8"/>
      <c r="GU85" s="8"/>
      <c r="GV85" s="8"/>
      <c r="GW85" s="8"/>
      <c r="GX85" s="8"/>
      <c r="GY85" s="8"/>
      <c r="GZ85" s="8"/>
      <c r="HA85" s="8"/>
      <c r="HB85" s="8"/>
      <c r="HC85" s="8"/>
      <c r="HD85" s="8"/>
      <c r="HE85" s="8"/>
      <c r="HF85" s="8"/>
      <c r="HG85" s="8"/>
      <c r="HH85" s="8"/>
      <c r="HI85" s="8"/>
      <c r="HJ85" s="8"/>
      <c r="HK85" s="8"/>
      <c r="HL85" s="8"/>
      <c r="HM85" s="8"/>
      <c r="HN85" s="8"/>
      <c r="HO85" s="8"/>
      <c r="HP85" s="8"/>
      <c r="HQ85" s="8"/>
      <c r="HR85" s="8"/>
      <c r="HS85" s="8"/>
      <c r="HT85" s="8"/>
      <c r="HU85" s="8"/>
      <c r="HV85" s="8"/>
      <c r="HW85" s="8"/>
      <c r="HX85" s="8"/>
      <c r="HY85" s="8"/>
      <c r="HZ85" s="8"/>
      <c r="IA85" s="8"/>
      <c r="IB85" s="8"/>
      <c r="IC85" s="8"/>
      <c r="ID85" s="8"/>
      <c r="IE85" s="8"/>
      <c r="IF85" s="8"/>
      <c r="IG85" s="8"/>
      <c r="IH85" s="8"/>
      <c r="II85" s="8"/>
      <c r="IJ85" s="8"/>
      <c r="IK85" s="8"/>
      <c r="IL85" s="8"/>
      <c r="IM85" s="8"/>
      <c r="IN85" s="8"/>
      <c r="IO85" s="8"/>
      <c r="IP85" s="8"/>
      <c r="IQ85" s="8"/>
      <c r="IR85" s="8"/>
      <c r="IS85" s="8"/>
      <c r="IT85" s="8"/>
      <c r="IU85" s="8"/>
      <c r="IV85" s="8"/>
      <c r="IW85" s="8"/>
      <c r="IX85" s="8"/>
    </row>
    <row r="86" spans="1:258" s="9" customFormat="1" ht="24.95" customHeight="1" outlineLevel="1" thickBot="1">
      <c r="A86" s="8"/>
      <c r="B86" s="16"/>
      <c r="C86" s="14" t="s">
        <v>24</v>
      </c>
      <c r="D86" s="15" t="s">
        <v>15</v>
      </c>
      <c r="E86" s="17"/>
      <c r="F86" s="42">
        <v>45992</v>
      </c>
      <c r="G86" s="43">
        <v>45992</v>
      </c>
      <c r="H86" s="33">
        <f t="shared" ref="H86" si="1">IF(OR(F86=0, ISBLANK(F86)),0,G86-F86+1)</f>
        <v>1</v>
      </c>
      <c r="I86" s="16"/>
      <c r="J86" s="8"/>
      <c r="K86" s="1"/>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row>
    <row r="87" spans="1:258" ht="300" customHeight="1">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ht="300" customHeight="1">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58">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58">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58">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58">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row>
    <row r="421" spans="1:258">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row>
    <row r="422" spans="1:258">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row>
    <row r="423" spans="1:258">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row>
    <row r="424" spans="1:258">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row>
    <row r="425" spans="1:258">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row>
    <row r="426" spans="1:258">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row>
    <row r="427" spans="1:258">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row>
    <row r="428" spans="1:258">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row>
    <row r="429" spans="1:258">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row>
    <row r="430" spans="1:258">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row>
    <row r="431" spans="1:258">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row>
    <row r="432" spans="1:258">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row>
    <row r="433" spans="1:282">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row>
    <row r="434" spans="1:282">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row>
    <row r="435" spans="1:282">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row>
    <row r="436" spans="1:282">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row>
    <row r="437" spans="1:282">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row>
    <row r="438" spans="1:282">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row>
    <row r="439" spans="1:282">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row>
    <row r="440" spans="1:282">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row>
    <row r="441" spans="1:282">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row>
    <row r="442" spans="1:282">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row>
    <row r="443" spans="1:282">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c r="A1107" s="1"/>
      <c r="B1107" s="1"/>
      <c r="C1107" s="1"/>
      <c r="D1107" s="1"/>
      <c r="E1107" s="1"/>
      <c r="F1107" s="36"/>
      <c r="G1107" s="36"/>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c r="A1108" s="1"/>
      <c r="B1108" s="1"/>
      <c r="C1108" s="1"/>
      <c r="D1108" s="1"/>
      <c r="E1108" s="1"/>
      <c r="F1108" s="36"/>
      <c r="G1108" s="36"/>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c r="A1109" s="1"/>
      <c r="B1109" s="1"/>
      <c r="C1109" s="1"/>
      <c r="D1109" s="1"/>
      <c r="E1109" s="1"/>
      <c r="F1109" s="36"/>
      <c r="G1109" s="36"/>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row r="1110" spans="1:282">
      <c r="A1110" s="1"/>
      <c r="B1110" s="1"/>
      <c r="C1110" s="1"/>
      <c r="D1110" s="1"/>
      <c r="E1110" s="1"/>
      <c r="F1110" s="36"/>
      <c r="G1110" s="36"/>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c r="FB1110" s="1"/>
      <c r="FC1110" s="1"/>
      <c r="FD1110" s="1"/>
      <c r="FE1110" s="1"/>
      <c r="FF1110" s="1"/>
      <c r="FG1110" s="1"/>
      <c r="FH1110" s="1"/>
      <c r="FI1110" s="1"/>
      <c r="FJ1110" s="1"/>
      <c r="FK1110" s="1"/>
      <c r="FL1110" s="1"/>
      <c r="FM1110" s="1"/>
      <c r="FN1110" s="1"/>
      <c r="FO1110" s="1"/>
      <c r="FP1110" s="1"/>
      <c r="FQ1110" s="1"/>
      <c r="FR1110" s="1"/>
      <c r="FS1110" s="1"/>
      <c r="FT1110" s="1"/>
      <c r="FU1110" s="1"/>
      <c r="FV1110" s="1"/>
      <c r="FW1110" s="1"/>
      <c r="FX1110" s="1"/>
      <c r="FY1110" s="1"/>
      <c r="FZ1110" s="1"/>
      <c r="GA1110" s="1"/>
      <c r="GB1110" s="1"/>
      <c r="GC1110" s="1"/>
      <c r="GD1110" s="1"/>
      <c r="GE1110" s="1"/>
      <c r="GF1110" s="1"/>
      <c r="GG1110" s="1"/>
      <c r="GH1110" s="1"/>
      <c r="GI1110" s="1"/>
      <c r="GJ1110" s="1"/>
      <c r="GK1110" s="1"/>
      <c r="GL1110" s="1"/>
      <c r="GM1110" s="1"/>
      <c r="GN1110" s="1"/>
      <c r="GO1110" s="1"/>
      <c r="GP1110" s="1"/>
      <c r="GQ1110" s="1"/>
      <c r="GR1110" s="1"/>
      <c r="GS1110" s="1"/>
      <c r="GT1110" s="1"/>
      <c r="GU1110" s="1"/>
      <c r="GV1110" s="1"/>
      <c r="GW1110" s="1"/>
      <c r="GX1110" s="1"/>
      <c r="GY1110" s="1"/>
      <c r="GZ1110" s="1"/>
      <c r="HA1110" s="1"/>
      <c r="HB1110" s="1"/>
      <c r="HC1110" s="1"/>
      <c r="HD1110" s="1"/>
      <c r="HE1110" s="1"/>
      <c r="HF1110" s="1"/>
      <c r="HG1110" s="1"/>
      <c r="HH1110" s="1"/>
      <c r="HI1110" s="1"/>
      <c r="HJ1110" s="1"/>
      <c r="HK1110" s="1"/>
      <c r="HL1110" s="1"/>
      <c r="HM1110" s="1"/>
      <c r="HN1110" s="1"/>
      <c r="HO1110" s="1"/>
      <c r="HP1110" s="1"/>
      <c r="HQ1110" s="1"/>
      <c r="HR1110" s="1"/>
      <c r="HS1110" s="1"/>
      <c r="HT1110" s="1"/>
      <c r="HU1110" s="1"/>
      <c r="HV1110" s="1"/>
      <c r="HW1110" s="1"/>
      <c r="HX1110" s="1"/>
      <c r="HY1110" s="1"/>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c r="IV1110" s="1"/>
      <c r="IW1110" s="1"/>
      <c r="IX1110" s="1"/>
      <c r="IY1110" s="1"/>
      <c r="IZ1110" s="1"/>
      <c r="JA1110" s="1"/>
      <c r="JB1110" s="1"/>
      <c r="JC1110" s="1"/>
      <c r="JD1110" s="1"/>
      <c r="JE1110" s="1"/>
      <c r="JF1110" s="1"/>
      <c r="JG1110" s="1"/>
      <c r="JH1110" s="1"/>
      <c r="JI1110" s="1"/>
      <c r="JJ1110" s="1"/>
      <c r="JK1110" s="1"/>
      <c r="JL1110" s="1"/>
      <c r="JM1110" s="1"/>
      <c r="JN1110" s="1"/>
      <c r="JO1110" s="1"/>
      <c r="JP1110" s="1"/>
      <c r="JQ1110" s="1"/>
      <c r="JR1110" s="1"/>
      <c r="JS1110" s="1"/>
      <c r="JT1110" s="1"/>
      <c r="JU1110" s="1"/>
      <c r="JV1110" s="1"/>
    </row>
    <row r="1111" spans="1:282">
      <c r="A1111" s="1"/>
      <c r="B1111" s="1"/>
      <c r="C1111" s="1"/>
      <c r="D1111" s="1"/>
      <c r="E1111" s="1"/>
      <c r="F1111" s="36"/>
      <c r="G1111" s="36"/>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1"/>
      <c r="EW1111" s="1"/>
      <c r="EX1111" s="1"/>
      <c r="EY1111" s="1"/>
      <c r="EZ1111" s="1"/>
      <c r="FA1111" s="1"/>
      <c r="FB1111" s="1"/>
      <c r="FC1111" s="1"/>
      <c r="FD1111" s="1"/>
      <c r="FE1111" s="1"/>
      <c r="FF1111" s="1"/>
      <c r="FG1111" s="1"/>
      <c r="FH1111" s="1"/>
      <c r="FI1111" s="1"/>
      <c r="FJ1111" s="1"/>
      <c r="FK1111" s="1"/>
      <c r="FL1111" s="1"/>
      <c r="FM1111" s="1"/>
      <c r="FN1111" s="1"/>
      <c r="FO1111" s="1"/>
      <c r="FP1111" s="1"/>
      <c r="FQ1111" s="1"/>
      <c r="FR1111" s="1"/>
      <c r="FS1111" s="1"/>
      <c r="FT1111" s="1"/>
      <c r="FU1111" s="1"/>
      <c r="FV1111" s="1"/>
      <c r="FW1111" s="1"/>
      <c r="FX1111" s="1"/>
      <c r="FY1111" s="1"/>
      <c r="FZ1111" s="1"/>
      <c r="GA1111" s="1"/>
      <c r="GB1111" s="1"/>
      <c r="GC1111" s="1"/>
      <c r="GD1111" s="1"/>
      <c r="GE1111" s="1"/>
      <c r="GF1111" s="1"/>
      <c r="GG1111" s="1"/>
      <c r="GH1111" s="1"/>
      <c r="GI1111" s="1"/>
      <c r="GJ1111" s="1"/>
      <c r="GK1111" s="1"/>
      <c r="GL1111" s="1"/>
      <c r="GM1111" s="1"/>
      <c r="GN1111" s="1"/>
      <c r="GO1111" s="1"/>
      <c r="GP1111" s="1"/>
      <c r="GQ1111" s="1"/>
      <c r="GR1111" s="1"/>
      <c r="GS1111" s="1"/>
      <c r="GT1111" s="1"/>
      <c r="GU1111" s="1"/>
      <c r="GV1111" s="1"/>
      <c r="GW1111" s="1"/>
      <c r="GX1111" s="1"/>
      <c r="GY1111" s="1"/>
      <c r="GZ1111" s="1"/>
      <c r="HA1111" s="1"/>
      <c r="HB1111" s="1"/>
      <c r="HC1111" s="1"/>
      <c r="HD1111" s="1"/>
      <c r="HE1111" s="1"/>
      <c r="HF1111" s="1"/>
      <c r="HG1111" s="1"/>
      <c r="HH1111" s="1"/>
      <c r="HI1111" s="1"/>
      <c r="HJ1111" s="1"/>
      <c r="HK1111" s="1"/>
      <c r="HL1111" s="1"/>
      <c r="HM1111" s="1"/>
      <c r="HN1111" s="1"/>
      <c r="HO1111" s="1"/>
      <c r="HP1111" s="1"/>
      <c r="HQ1111" s="1"/>
      <c r="HR1111" s="1"/>
      <c r="HS1111" s="1"/>
      <c r="HT1111" s="1"/>
      <c r="HU1111" s="1"/>
      <c r="HV1111" s="1"/>
      <c r="HW1111" s="1"/>
      <c r="HX1111" s="1"/>
      <c r="HY1111" s="1"/>
      <c r="HZ1111" s="1"/>
      <c r="IA1111" s="1"/>
      <c r="IB1111" s="1"/>
      <c r="IC1111" s="1"/>
      <c r="ID1111" s="1"/>
      <c r="IE1111" s="1"/>
      <c r="IF1111" s="1"/>
      <c r="IG1111" s="1"/>
      <c r="IH1111" s="1"/>
      <c r="II1111" s="1"/>
      <c r="IJ1111" s="1"/>
      <c r="IK1111" s="1"/>
      <c r="IL1111" s="1"/>
      <c r="IM1111" s="1"/>
      <c r="IN1111" s="1"/>
      <c r="IO1111" s="1"/>
      <c r="IP1111" s="1"/>
      <c r="IQ1111" s="1"/>
      <c r="IR1111" s="1"/>
      <c r="IS1111" s="1"/>
      <c r="IT1111" s="1"/>
      <c r="IU1111" s="1"/>
      <c r="IV1111" s="1"/>
      <c r="IW1111" s="1"/>
      <c r="IX1111" s="1"/>
      <c r="IY1111" s="1"/>
      <c r="IZ1111" s="1"/>
      <c r="JA1111" s="1"/>
      <c r="JB1111" s="1"/>
      <c r="JC1111" s="1"/>
      <c r="JD1111" s="1"/>
      <c r="JE1111" s="1"/>
      <c r="JF1111" s="1"/>
      <c r="JG1111" s="1"/>
      <c r="JH1111" s="1"/>
      <c r="JI1111" s="1"/>
      <c r="JJ1111" s="1"/>
      <c r="JK1111" s="1"/>
      <c r="JL1111" s="1"/>
      <c r="JM1111" s="1"/>
      <c r="JN1111" s="1"/>
      <c r="JO1111" s="1"/>
      <c r="JP1111" s="1"/>
      <c r="JQ1111" s="1"/>
      <c r="JR1111" s="1"/>
      <c r="JS1111" s="1"/>
      <c r="JT1111" s="1"/>
      <c r="JU1111" s="1"/>
      <c r="JV1111" s="1"/>
    </row>
    <row r="1112" spans="1:282">
      <c r="A1112" s="1"/>
      <c r="B1112" s="1"/>
      <c r="C1112" s="1"/>
      <c r="D1112" s="1"/>
      <c r="E1112" s="1"/>
      <c r="F1112" s="36"/>
      <c r="G1112" s="36"/>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c r="FB1112" s="1"/>
      <c r="FC1112" s="1"/>
      <c r="FD1112" s="1"/>
      <c r="FE1112" s="1"/>
      <c r="FF1112" s="1"/>
      <c r="FG1112" s="1"/>
      <c r="FH1112" s="1"/>
      <c r="FI1112" s="1"/>
      <c r="FJ1112" s="1"/>
      <c r="FK1112" s="1"/>
      <c r="FL1112" s="1"/>
      <c r="FM1112" s="1"/>
      <c r="FN1112" s="1"/>
      <c r="FO1112" s="1"/>
      <c r="FP1112" s="1"/>
      <c r="FQ1112" s="1"/>
      <c r="FR1112" s="1"/>
      <c r="FS1112" s="1"/>
      <c r="FT1112" s="1"/>
      <c r="FU1112" s="1"/>
      <c r="FV1112" s="1"/>
      <c r="FW1112" s="1"/>
      <c r="FX1112" s="1"/>
      <c r="FY1112" s="1"/>
      <c r="FZ1112" s="1"/>
      <c r="GA1112" s="1"/>
      <c r="GB1112" s="1"/>
      <c r="GC1112" s="1"/>
      <c r="GD1112" s="1"/>
      <c r="GE1112" s="1"/>
      <c r="GF1112" s="1"/>
      <c r="GG1112" s="1"/>
      <c r="GH1112" s="1"/>
      <c r="GI1112" s="1"/>
      <c r="GJ1112" s="1"/>
      <c r="GK1112" s="1"/>
      <c r="GL1112" s="1"/>
      <c r="GM1112" s="1"/>
      <c r="GN1112" s="1"/>
      <c r="GO1112" s="1"/>
      <c r="GP1112" s="1"/>
      <c r="GQ1112" s="1"/>
      <c r="GR1112" s="1"/>
      <c r="GS1112" s="1"/>
      <c r="GT1112" s="1"/>
      <c r="GU1112" s="1"/>
      <c r="GV1112" s="1"/>
      <c r="GW1112" s="1"/>
      <c r="GX1112" s="1"/>
      <c r="GY1112" s="1"/>
      <c r="GZ1112" s="1"/>
      <c r="HA1112" s="1"/>
      <c r="HB1112" s="1"/>
      <c r="HC1112" s="1"/>
      <c r="HD1112" s="1"/>
      <c r="HE1112" s="1"/>
      <c r="HF1112" s="1"/>
      <c r="HG1112" s="1"/>
      <c r="HH1112" s="1"/>
      <c r="HI1112" s="1"/>
      <c r="HJ1112" s="1"/>
      <c r="HK1112" s="1"/>
      <c r="HL1112" s="1"/>
      <c r="HM1112" s="1"/>
      <c r="HN1112" s="1"/>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c r="IV1112" s="1"/>
      <c r="IW1112" s="1"/>
      <c r="IX1112" s="1"/>
      <c r="IY1112" s="1"/>
      <c r="IZ1112" s="1"/>
      <c r="JA1112" s="1"/>
      <c r="JB1112" s="1"/>
      <c r="JC1112" s="1"/>
      <c r="JD1112" s="1"/>
      <c r="JE1112" s="1"/>
      <c r="JF1112" s="1"/>
      <c r="JG1112" s="1"/>
      <c r="JH1112" s="1"/>
      <c r="JI1112" s="1"/>
      <c r="JJ1112" s="1"/>
      <c r="JK1112" s="1"/>
      <c r="JL1112" s="1"/>
      <c r="JM1112" s="1"/>
      <c r="JN1112" s="1"/>
      <c r="JO1112" s="1"/>
      <c r="JP1112" s="1"/>
      <c r="JQ1112" s="1"/>
      <c r="JR1112" s="1"/>
      <c r="JS1112" s="1"/>
      <c r="JT1112" s="1"/>
      <c r="JU1112" s="1"/>
      <c r="JV1112" s="1"/>
    </row>
    <row r="1113" spans="1:282">
      <c r="A1113" s="1"/>
      <c r="B1113" s="1"/>
      <c r="C1113" s="1"/>
      <c r="D1113" s="1"/>
      <c r="E1113" s="1"/>
      <c r="F1113" s="36"/>
      <c r="G1113" s="36"/>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c r="FB1113" s="1"/>
      <c r="FC1113" s="1"/>
      <c r="FD1113" s="1"/>
      <c r="FE1113" s="1"/>
      <c r="FF1113" s="1"/>
      <c r="FG1113" s="1"/>
      <c r="FH1113" s="1"/>
      <c r="FI1113" s="1"/>
      <c r="FJ1113" s="1"/>
      <c r="FK1113" s="1"/>
      <c r="FL1113" s="1"/>
      <c r="FM1113" s="1"/>
      <c r="FN1113" s="1"/>
      <c r="FO1113" s="1"/>
      <c r="FP1113" s="1"/>
      <c r="FQ1113" s="1"/>
      <c r="FR1113" s="1"/>
      <c r="FS1113" s="1"/>
      <c r="FT1113" s="1"/>
      <c r="FU1113" s="1"/>
      <c r="FV1113" s="1"/>
      <c r="FW1113" s="1"/>
      <c r="FX1113" s="1"/>
      <c r="FY1113" s="1"/>
      <c r="FZ1113" s="1"/>
      <c r="GA1113" s="1"/>
      <c r="GB1113" s="1"/>
      <c r="GC1113" s="1"/>
      <c r="GD1113" s="1"/>
      <c r="GE1113" s="1"/>
      <c r="GF1113" s="1"/>
      <c r="GG1113" s="1"/>
      <c r="GH1113" s="1"/>
      <c r="GI1113" s="1"/>
      <c r="GJ1113" s="1"/>
      <c r="GK1113" s="1"/>
      <c r="GL1113" s="1"/>
      <c r="GM1113" s="1"/>
      <c r="GN1113" s="1"/>
      <c r="GO1113" s="1"/>
      <c r="GP1113" s="1"/>
      <c r="GQ1113" s="1"/>
      <c r="GR1113" s="1"/>
      <c r="GS1113" s="1"/>
      <c r="GT1113" s="1"/>
      <c r="GU1113" s="1"/>
      <c r="GV1113" s="1"/>
      <c r="GW1113" s="1"/>
      <c r="GX1113" s="1"/>
      <c r="GY1113" s="1"/>
      <c r="GZ1113" s="1"/>
      <c r="HA1113" s="1"/>
      <c r="HB1113" s="1"/>
      <c r="HC1113" s="1"/>
      <c r="HD1113" s="1"/>
      <c r="HE1113" s="1"/>
      <c r="HF1113" s="1"/>
      <c r="HG1113" s="1"/>
      <c r="HH1113" s="1"/>
      <c r="HI1113" s="1"/>
      <c r="HJ1113" s="1"/>
      <c r="HK1113" s="1"/>
      <c r="HL1113" s="1"/>
      <c r="HM1113" s="1"/>
      <c r="HN1113" s="1"/>
      <c r="HO1113" s="1"/>
      <c r="HP1113" s="1"/>
      <c r="HQ1113" s="1"/>
      <c r="HR1113" s="1"/>
      <c r="HS1113" s="1"/>
      <c r="HT1113" s="1"/>
      <c r="HU1113" s="1"/>
      <c r="HV1113" s="1"/>
      <c r="HW1113" s="1"/>
      <c r="HX1113" s="1"/>
      <c r="HY1113" s="1"/>
      <c r="HZ1113" s="1"/>
      <c r="IA1113" s="1"/>
      <c r="IB1113" s="1"/>
      <c r="IC1113" s="1"/>
      <c r="ID1113" s="1"/>
      <c r="IE1113" s="1"/>
      <c r="IF1113" s="1"/>
      <c r="IG1113" s="1"/>
      <c r="IH1113" s="1"/>
      <c r="II1113" s="1"/>
      <c r="IJ1113" s="1"/>
      <c r="IK1113" s="1"/>
      <c r="IL1113" s="1"/>
      <c r="IM1113" s="1"/>
      <c r="IN1113" s="1"/>
      <c r="IO1113" s="1"/>
      <c r="IP1113" s="1"/>
      <c r="IQ1113" s="1"/>
      <c r="IR1113" s="1"/>
      <c r="IS1113" s="1"/>
      <c r="IT1113" s="1"/>
      <c r="IU1113" s="1"/>
      <c r="IV1113" s="1"/>
      <c r="IW1113" s="1"/>
      <c r="IX1113" s="1"/>
      <c r="IY1113" s="1"/>
      <c r="IZ1113" s="1"/>
      <c r="JA1113" s="1"/>
      <c r="JB1113" s="1"/>
      <c r="JC1113" s="1"/>
      <c r="JD1113" s="1"/>
      <c r="JE1113" s="1"/>
      <c r="JF1113" s="1"/>
      <c r="JG1113" s="1"/>
      <c r="JH1113" s="1"/>
      <c r="JI1113" s="1"/>
      <c r="JJ1113" s="1"/>
      <c r="JK1113" s="1"/>
      <c r="JL1113" s="1"/>
      <c r="JM1113" s="1"/>
      <c r="JN1113" s="1"/>
      <c r="JO1113" s="1"/>
      <c r="JP1113" s="1"/>
      <c r="JQ1113" s="1"/>
      <c r="JR1113" s="1"/>
      <c r="JS1113" s="1"/>
      <c r="JT1113" s="1"/>
      <c r="JU1113" s="1"/>
      <c r="JV1113" s="1"/>
    </row>
    <row r="1114" spans="1:282">
      <c r="A1114" s="1"/>
      <c r="B1114" s="1"/>
      <c r="C1114" s="1"/>
      <c r="D1114" s="1"/>
      <c r="E1114" s="1"/>
      <c r="F1114" s="36"/>
      <c r="G1114" s="36"/>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c r="FB1114" s="1"/>
      <c r="FC1114" s="1"/>
      <c r="FD1114" s="1"/>
      <c r="FE1114" s="1"/>
      <c r="FF1114" s="1"/>
      <c r="FG1114" s="1"/>
      <c r="FH1114" s="1"/>
      <c r="FI1114" s="1"/>
      <c r="FJ1114" s="1"/>
      <c r="FK1114" s="1"/>
      <c r="FL1114" s="1"/>
      <c r="FM1114" s="1"/>
      <c r="FN1114" s="1"/>
      <c r="FO1114" s="1"/>
      <c r="FP1114" s="1"/>
      <c r="FQ1114" s="1"/>
      <c r="FR1114" s="1"/>
      <c r="FS1114" s="1"/>
      <c r="FT1114" s="1"/>
      <c r="FU1114" s="1"/>
      <c r="FV1114" s="1"/>
      <c r="FW1114" s="1"/>
      <c r="FX1114" s="1"/>
      <c r="FY1114" s="1"/>
      <c r="FZ1114" s="1"/>
      <c r="GA1114" s="1"/>
      <c r="GB1114" s="1"/>
      <c r="GC1114" s="1"/>
      <c r="GD1114" s="1"/>
      <c r="GE1114" s="1"/>
      <c r="GF1114" s="1"/>
      <c r="GG1114" s="1"/>
      <c r="GH1114" s="1"/>
      <c r="GI1114" s="1"/>
      <c r="GJ1114" s="1"/>
      <c r="GK1114" s="1"/>
      <c r="GL1114" s="1"/>
      <c r="GM1114" s="1"/>
      <c r="GN1114" s="1"/>
      <c r="GO1114" s="1"/>
      <c r="GP1114" s="1"/>
      <c r="GQ1114" s="1"/>
      <c r="GR1114" s="1"/>
      <c r="GS1114" s="1"/>
      <c r="GT1114" s="1"/>
      <c r="GU1114" s="1"/>
      <c r="GV1114" s="1"/>
      <c r="GW1114" s="1"/>
      <c r="GX1114" s="1"/>
      <c r="GY1114" s="1"/>
      <c r="GZ1114" s="1"/>
      <c r="HA1114" s="1"/>
      <c r="HB1114" s="1"/>
      <c r="HC1114" s="1"/>
      <c r="HD1114" s="1"/>
      <c r="HE1114" s="1"/>
      <c r="HF1114" s="1"/>
      <c r="HG1114" s="1"/>
      <c r="HH1114" s="1"/>
      <c r="HI1114" s="1"/>
      <c r="HJ1114" s="1"/>
      <c r="HK1114" s="1"/>
      <c r="HL1114" s="1"/>
      <c r="HM1114" s="1"/>
      <c r="HN1114" s="1"/>
      <c r="HO1114" s="1"/>
      <c r="HP1114" s="1"/>
      <c r="HQ1114" s="1"/>
      <c r="HR1114" s="1"/>
      <c r="HS1114" s="1"/>
      <c r="HT1114" s="1"/>
      <c r="HU1114" s="1"/>
      <c r="HV1114" s="1"/>
      <c r="HW1114" s="1"/>
      <c r="HX1114" s="1"/>
      <c r="HY1114" s="1"/>
      <c r="HZ1114" s="1"/>
      <c r="IA1114" s="1"/>
      <c r="IB1114" s="1"/>
      <c r="IC1114" s="1"/>
      <c r="ID1114" s="1"/>
      <c r="IE1114" s="1"/>
      <c r="IF1114" s="1"/>
      <c r="IG1114" s="1"/>
      <c r="IH1114" s="1"/>
      <c r="II1114" s="1"/>
      <c r="IJ1114" s="1"/>
      <c r="IK1114" s="1"/>
      <c r="IL1114" s="1"/>
      <c r="IM1114" s="1"/>
      <c r="IN1114" s="1"/>
      <c r="IO1114" s="1"/>
      <c r="IP1114" s="1"/>
      <c r="IQ1114" s="1"/>
      <c r="IR1114" s="1"/>
      <c r="IS1114" s="1"/>
      <c r="IT1114" s="1"/>
      <c r="IU1114" s="1"/>
      <c r="IV1114" s="1"/>
      <c r="IW1114" s="1"/>
      <c r="IX1114" s="1"/>
      <c r="IY1114" s="1"/>
      <c r="IZ1114" s="1"/>
      <c r="JA1114" s="1"/>
      <c r="JB1114" s="1"/>
      <c r="JC1114" s="1"/>
      <c r="JD1114" s="1"/>
      <c r="JE1114" s="1"/>
      <c r="JF1114" s="1"/>
      <c r="JG1114" s="1"/>
      <c r="JH1114" s="1"/>
      <c r="JI1114" s="1"/>
      <c r="JJ1114" s="1"/>
      <c r="JK1114" s="1"/>
      <c r="JL1114" s="1"/>
      <c r="JM1114" s="1"/>
      <c r="JN1114" s="1"/>
      <c r="JO1114" s="1"/>
      <c r="JP1114" s="1"/>
      <c r="JQ1114" s="1"/>
      <c r="JR1114" s="1"/>
      <c r="JS1114" s="1"/>
      <c r="JT1114" s="1"/>
      <c r="JU1114" s="1"/>
      <c r="JV1114" s="1"/>
    </row>
    <row r="1115" spans="1:282">
      <c r="A1115" s="1"/>
      <c r="B1115" s="1"/>
      <c r="C1115" s="1"/>
      <c r="D1115" s="1"/>
      <c r="E1115" s="1"/>
      <c r="F1115" s="36"/>
      <c r="G1115" s="36"/>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1"/>
      <c r="FP1115" s="1"/>
      <c r="FQ1115" s="1"/>
      <c r="FR1115" s="1"/>
      <c r="FS1115" s="1"/>
      <c r="FT1115" s="1"/>
      <c r="FU1115" s="1"/>
      <c r="FV1115" s="1"/>
      <c r="FW1115" s="1"/>
      <c r="FX1115" s="1"/>
      <c r="FY1115" s="1"/>
      <c r="FZ1115" s="1"/>
      <c r="GA1115" s="1"/>
      <c r="GB1115" s="1"/>
      <c r="GC1115" s="1"/>
      <c r="GD1115" s="1"/>
      <c r="GE1115" s="1"/>
      <c r="GF1115" s="1"/>
      <c r="GG1115" s="1"/>
      <c r="GH1115" s="1"/>
      <c r="GI1115" s="1"/>
      <c r="GJ1115" s="1"/>
      <c r="GK1115" s="1"/>
      <c r="GL1115" s="1"/>
      <c r="GM1115" s="1"/>
      <c r="GN1115" s="1"/>
      <c r="GO1115" s="1"/>
      <c r="GP1115" s="1"/>
      <c r="GQ1115" s="1"/>
      <c r="GR1115" s="1"/>
      <c r="GS1115" s="1"/>
      <c r="GT1115" s="1"/>
      <c r="GU1115" s="1"/>
      <c r="GV1115" s="1"/>
      <c r="GW1115" s="1"/>
      <c r="GX1115" s="1"/>
      <c r="GY1115" s="1"/>
      <c r="GZ1115" s="1"/>
      <c r="HA1115" s="1"/>
      <c r="HB1115" s="1"/>
      <c r="HC1115" s="1"/>
      <c r="HD1115" s="1"/>
      <c r="HE1115" s="1"/>
      <c r="HF1115" s="1"/>
      <c r="HG1115" s="1"/>
      <c r="HH1115" s="1"/>
      <c r="HI1115" s="1"/>
      <c r="HJ1115" s="1"/>
      <c r="HK1115" s="1"/>
      <c r="HL1115" s="1"/>
      <c r="HM1115" s="1"/>
      <c r="HN1115" s="1"/>
      <c r="HO1115" s="1"/>
      <c r="HP1115" s="1"/>
      <c r="HQ1115" s="1"/>
      <c r="HR1115" s="1"/>
      <c r="HS1115" s="1"/>
      <c r="HT1115" s="1"/>
      <c r="HU1115" s="1"/>
      <c r="HV1115" s="1"/>
      <c r="HW1115" s="1"/>
      <c r="HX1115" s="1"/>
      <c r="HY1115" s="1"/>
      <c r="HZ1115" s="1"/>
      <c r="IA1115" s="1"/>
      <c r="IB1115" s="1"/>
      <c r="IC1115" s="1"/>
      <c r="ID1115" s="1"/>
      <c r="IE1115" s="1"/>
      <c r="IF1115" s="1"/>
      <c r="IG1115" s="1"/>
      <c r="IH1115" s="1"/>
      <c r="II1115" s="1"/>
      <c r="IJ1115" s="1"/>
      <c r="IK1115" s="1"/>
      <c r="IL1115" s="1"/>
      <c r="IM1115" s="1"/>
      <c r="IN1115" s="1"/>
      <c r="IO1115" s="1"/>
      <c r="IP1115" s="1"/>
      <c r="IQ1115" s="1"/>
      <c r="IR1115" s="1"/>
      <c r="IS1115" s="1"/>
      <c r="IT1115" s="1"/>
      <c r="IU1115" s="1"/>
      <c r="IV1115" s="1"/>
      <c r="IW1115" s="1"/>
      <c r="IX1115" s="1"/>
      <c r="IY1115" s="1"/>
      <c r="IZ1115" s="1"/>
      <c r="JA1115" s="1"/>
      <c r="JB1115" s="1"/>
      <c r="JC1115" s="1"/>
      <c r="JD1115" s="1"/>
      <c r="JE1115" s="1"/>
      <c r="JF1115" s="1"/>
      <c r="JG1115" s="1"/>
      <c r="JH1115" s="1"/>
      <c r="JI1115" s="1"/>
      <c r="JJ1115" s="1"/>
      <c r="JK1115" s="1"/>
      <c r="JL1115" s="1"/>
      <c r="JM1115" s="1"/>
      <c r="JN1115" s="1"/>
      <c r="JO1115" s="1"/>
      <c r="JP1115" s="1"/>
      <c r="JQ1115" s="1"/>
      <c r="JR1115" s="1"/>
      <c r="JS1115" s="1"/>
      <c r="JT1115" s="1"/>
      <c r="JU1115" s="1"/>
      <c r="JV1115" s="1"/>
    </row>
    <row r="1116" spans="1:282">
      <c r="A1116" s="1"/>
      <c r="B1116" s="1"/>
      <c r="C1116" s="1"/>
      <c r="D1116" s="1"/>
      <c r="E1116" s="1"/>
      <c r="F1116" s="36"/>
      <c r="G1116" s="36"/>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c r="CW1116" s="1"/>
      <c r="CX1116" s="1"/>
      <c r="CY1116" s="1"/>
      <c r="CZ1116" s="1"/>
      <c r="DA1116" s="1"/>
      <c r="DB1116" s="1"/>
      <c r="DC1116" s="1"/>
      <c r="DD1116" s="1"/>
      <c r="DE1116" s="1"/>
      <c r="DF1116" s="1"/>
      <c r="DG1116" s="1"/>
      <c r="DH1116" s="1"/>
      <c r="DI1116" s="1"/>
      <c r="DJ1116" s="1"/>
      <c r="DK1116" s="1"/>
      <c r="DL1116" s="1"/>
      <c r="DM1116" s="1"/>
      <c r="DN1116" s="1"/>
      <c r="DO1116" s="1"/>
      <c r="DP1116" s="1"/>
      <c r="DQ1116" s="1"/>
      <c r="DR1116" s="1"/>
      <c r="DS1116" s="1"/>
      <c r="DT1116" s="1"/>
      <c r="DU1116" s="1"/>
      <c r="DV1116" s="1"/>
      <c r="DW1116" s="1"/>
      <c r="DX1116" s="1"/>
      <c r="DY1116" s="1"/>
      <c r="DZ1116" s="1"/>
      <c r="EA1116" s="1"/>
      <c r="EB1116" s="1"/>
      <c r="EC1116" s="1"/>
      <c r="ED1116" s="1"/>
      <c r="EE1116" s="1"/>
      <c r="EF1116" s="1"/>
      <c r="EG1116" s="1"/>
      <c r="EH1116" s="1"/>
      <c r="EI1116" s="1"/>
      <c r="EJ1116" s="1"/>
      <c r="EK1116" s="1"/>
      <c r="EL1116" s="1"/>
      <c r="EM1116" s="1"/>
      <c r="EN1116" s="1"/>
      <c r="EO1116" s="1"/>
      <c r="EP1116" s="1"/>
      <c r="EQ1116" s="1"/>
      <c r="ER1116" s="1"/>
      <c r="ES1116" s="1"/>
      <c r="ET1116" s="1"/>
      <c r="EU1116" s="1"/>
      <c r="EV1116" s="1"/>
      <c r="EW1116" s="1"/>
      <c r="EX1116" s="1"/>
      <c r="EY1116" s="1"/>
      <c r="EZ1116" s="1"/>
      <c r="FA1116" s="1"/>
      <c r="FB1116" s="1"/>
      <c r="FC1116" s="1"/>
      <c r="FD1116" s="1"/>
      <c r="FE1116" s="1"/>
      <c r="FF1116" s="1"/>
      <c r="FG1116" s="1"/>
      <c r="FH1116" s="1"/>
      <c r="FI1116" s="1"/>
      <c r="FJ1116" s="1"/>
      <c r="FK1116" s="1"/>
      <c r="FL1116" s="1"/>
      <c r="FM1116" s="1"/>
      <c r="FN1116" s="1"/>
      <c r="FO1116" s="1"/>
      <c r="FP1116" s="1"/>
      <c r="FQ1116" s="1"/>
      <c r="FR1116" s="1"/>
      <c r="FS1116" s="1"/>
      <c r="FT1116" s="1"/>
      <c r="FU1116" s="1"/>
      <c r="FV1116" s="1"/>
      <c r="FW1116" s="1"/>
      <c r="FX1116" s="1"/>
      <c r="FY1116" s="1"/>
      <c r="FZ1116" s="1"/>
      <c r="GA1116" s="1"/>
      <c r="GB1116" s="1"/>
      <c r="GC1116" s="1"/>
      <c r="GD1116" s="1"/>
      <c r="GE1116" s="1"/>
      <c r="GF1116" s="1"/>
      <c r="GG1116" s="1"/>
      <c r="GH1116" s="1"/>
      <c r="GI1116" s="1"/>
      <c r="GJ1116" s="1"/>
      <c r="GK1116" s="1"/>
      <c r="GL1116" s="1"/>
      <c r="GM1116" s="1"/>
      <c r="GN1116" s="1"/>
      <c r="GO1116" s="1"/>
      <c r="GP1116" s="1"/>
      <c r="GQ1116" s="1"/>
      <c r="GR1116" s="1"/>
      <c r="GS1116" s="1"/>
      <c r="GT1116" s="1"/>
      <c r="GU1116" s="1"/>
      <c r="GV1116" s="1"/>
      <c r="GW1116" s="1"/>
      <c r="GX1116" s="1"/>
      <c r="GY1116" s="1"/>
      <c r="GZ1116" s="1"/>
      <c r="HA1116" s="1"/>
      <c r="HB1116" s="1"/>
      <c r="HC1116" s="1"/>
      <c r="HD1116" s="1"/>
      <c r="HE1116" s="1"/>
      <c r="HF1116" s="1"/>
      <c r="HG1116" s="1"/>
      <c r="HH1116" s="1"/>
      <c r="HI1116" s="1"/>
      <c r="HJ1116" s="1"/>
      <c r="HK1116" s="1"/>
      <c r="HL1116" s="1"/>
      <c r="HM1116" s="1"/>
      <c r="HN1116" s="1"/>
      <c r="HO1116" s="1"/>
      <c r="HP1116" s="1"/>
      <c r="HQ1116" s="1"/>
      <c r="HR1116" s="1"/>
      <c r="HS1116" s="1"/>
      <c r="HT1116" s="1"/>
      <c r="HU1116" s="1"/>
      <c r="HV1116" s="1"/>
      <c r="HW1116" s="1"/>
      <c r="HX1116" s="1"/>
      <c r="HY1116" s="1"/>
      <c r="HZ1116" s="1"/>
      <c r="IA1116" s="1"/>
      <c r="IB1116" s="1"/>
      <c r="IC1116" s="1"/>
      <c r="ID1116" s="1"/>
      <c r="IE1116" s="1"/>
      <c r="IF1116" s="1"/>
      <c r="IG1116" s="1"/>
      <c r="IH1116" s="1"/>
      <c r="II1116" s="1"/>
      <c r="IJ1116" s="1"/>
      <c r="IK1116" s="1"/>
      <c r="IL1116" s="1"/>
      <c r="IM1116" s="1"/>
      <c r="IN1116" s="1"/>
      <c r="IO1116" s="1"/>
      <c r="IP1116" s="1"/>
      <c r="IQ1116" s="1"/>
      <c r="IR1116" s="1"/>
      <c r="IS1116" s="1"/>
      <c r="IT1116" s="1"/>
      <c r="IU1116" s="1"/>
      <c r="IV1116" s="1"/>
      <c r="IW1116" s="1"/>
      <c r="IX1116" s="1"/>
      <c r="IY1116" s="1"/>
      <c r="IZ1116" s="1"/>
      <c r="JA1116" s="1"/>
      <c r="JB1116" s="1"/>
      <c r="JC1116" s="1"/>
      <c r="JD1116" s="1"/>
      <c r="JE1116" s="1"/>
      <c r="JF1116" s="1"/>
      <c r="JG1116" s="1"/>
      <c r="JH1116" s="1"/>
      <c r="JI1116" s="1"/>
      <c r="JJ1116" s="1"/>
      <c r="JK1116" s="1"/>
      <c r="JL1116" s="1"/>
      <c r="JM1116" s="1"/>
      <c r="JN1116" s="1"/>
      <c r="JO1116" s="1"/>
      <c r="JP1116" s="1"/>
      <c r="JQ1116" s="1"/>
      <c r="JR1116" s="1"/>
      <c r="JS1116" s="1"/>
      <c r="JT1116" s="1"/>
      <c r="JU1116" s="1"/>
      <c r="JV1116" s="1"/>
    </row>
    <row r="1117" spans="1:282">
      <c r="A1117" s="1"/>
      <c r="B1117" s="1"/>
      <c r="C1117" s="1"/>
      <c r="D1117" s="1"/>
      <c r="E1117" s="1"/>
      <c r="F1117" s="36"/>
      <c r="G1117" s="36"/>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c r="CX1117" s="1"/>
      <c r="CY1117" s="1"/>
      <c r="CZ1117" s="1"/>
      <c r="DA1117" s="1"/>
      <c r="DB1117" s="1"/>
      <c r="DC1117" s="1"/>
      <c r="DD1117" s="1"/>
      <c r="DE1117" s="1"/>
      <c r="DF1117" s="1"/>
      <c r="DG1117" s="1"/>
      <c r="DH1117" s="1"/>
      <c r="DI1117" s="1"/>
      <c r="DJ1117" s="1"/>
      <c r="DK1117" s="1"/>
      <c r="DL1117" s="1"/>
      <c r="DM1117" s="1"/>
      <c r="DN1117" s="1"/>
      <c r="DO1117" s="1"/>
      <c r="DP1117" s="1"/>
      <c r="DQ1117" s="1"/>
      <c r="DR1117" s="1"/>
      <c r="DS1117" s="1"/>
      <c r="DT1117" s="1"/>
      <c r="DU1117" s="1"/>
      <c r="DV1117" s="1"/>
      <c r="DW1117" s="1"/>
      <c r="DX1117" s="1"/>
      <c r="DY1117" s="1"/>
      <c r="DZ1117" s="1"/>
      <c r="EA1117" s="1"/>
      <c r="EB1117" s="1"/>
      <c r="EC1117" s="1"/>
      <c r="ED1117" s="1"/>
      <c r="EE1117" s="1"/>
      <c r="EF1117" s="1"/>
      <c r="EG1117" s="1"/>
      <c r="EH1117" s="1"/>
      <c r="EI1117" s="1"/>
      <c r="EJ1117" s="1"/>
      <c r="EK1117" s="1"/>
      <c r="EL1117" s="1"/>
      <c r="EM1117" s="1"/>
      <c r="EN1117" s="1"/>
      <c r="EO1117" s="1"/>
      <c r="EP1117" s="1"/>
      <c r="EQ1117" s="1"/>
      <c r="ER1117" s="1"/>
      <c r="ES1117" s="1"/>
      <c r="ET1117" s="1"/>
      <c r="EU1117" s="1"/>
      <c r="EV1117" s="1"/>
      <c r="EW1117" s="1"/>
      <c r="EX1117" s="1"/>
      <c r="EY1117" s="1"/>
      <c r="EZ1117" s="1"/>
      <c r="FA1117" s="1"/>
      <c r="FB1117" s="1"/>
      <c r="FC1117" s="1"/>
      <c r="FD1117" s="1"/>
      <c r="FE1117" s="1"/>
      <c r="FF1117" s="1"/>
      <c r="FG1117" s="1"/>
      <c r="FH1117" s="1"/>
      <c r="FI1117" s="1"/>
      <c r="FJ1117" s="1"/>
      <c r="FK1117" s="1"/>
      <c r="FL1117" s="1"/>
      <c r="FM1117" s="1"/>
      <c r="FN1117" s="1"/>
      <c r="FO1117" s="1"/>
      <c r="FP1117" s="1"/>
      <c r="FQ1117" s="1"/>
      <c r="FR1117" s="1"/>
      <c r="FS1117" s="1"/>
      <c r="FT1117" s="1"/>
      <c r="FU1117" s="1"/>
      <c r="FV1117" s="1"/>
      <c r="FW1117" s="1"/>
      <c r="FX1117" s="1"/>
      <c r="FY1117" s="1"/>
      <c r="FZ1117" s="1"/>
      <c r="GA1117" s="1"/>
      <c r="GB1117" s="1"/>
      <c r="GC1117" s="1"/>
      <c r="GD1117" s="1"/>
      <c r="GE1117" s="1"/>
      <c r="GF1117" s="1"/>
      <c r="GG1117" s="1"/>
      <c r="GH1117" s="1"/>
      <c r="GI1117" s="1"/>
      <c r="GJ1117" s="1"/>
      <c r="GK1117" s="1"/>
      <c r="GL1117" s="1"/>
      <c r="GM1117" s="1"/>
      <c r="GN1117" s="1"/>
      <c r="GO1117" s="1"/>
      <c r="GP1117" s="1"/>
      <c r="GQ1117" s="1"/>
      <c r="GR1117" s="1"/>
      <c r="GS1117" s="1"/>
      <c r="GT1117" s="1"/>
      <c r="GU1117" s="1"/>
      <c r="GV1117" s="1"/>
      <c r="GW1117" s="1"/>
      <c r="GX1117" s="1"/>
      <c r="GY1117" s="1"/>
      <c r="GZ1117" s="1"/>
      <c r="HA1117" s="1"/>
      <c r="HB1117" s="1"/>
      <c r="HC1117" s="1"/>
      <c r="HD1117" s="1"/>
      <c r="HE1117" s="1"/>
      <c r="HF1117" s="1"/>
      <c r="HG1117" s="1"/>
      <c r="HH1117" s="1"/>
      <c r="HI1117" s="1"/>
      <c r="HJ1117" s="1"/>
      <c r="HK1117" s="1"/>
      <c r="HL1117" s="1"/>
      <c r="HM1117" s="1"/>
      <c r="HN1117" s="1"/>
      <c r="HO1117" s="1"/>
      <c r="HP1117" s="1"/>
      <c r="HQ1117" s="1"/>
      <c r="HR1117" s="1"/>
      <c r="HS1117" s="1"/>
      <c r="HT1117" s="1"/>
      <c r="HU1117" s="1"/>
      <c r="HV1117" s="1"/>
      <c r="HW1117" s="1"/>
      <c r="HX1117" s="1"/>
      <c r="HY1117" s="1"/>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c r="IV1117" s="1"/>
      <c r="IW1117" s="1"/>
      <c r="IX1117" s="1"/>
      <c r="IY1117" s="1"/>
      <c r="IZ1117" s="1"/>
      <c r="JA1117" s="1"/>
      <c r="JB1117" s="1"/>
      <c r="JC1117" s="1"/>
      <c r="JD1117" s="1"/>
      <c r="JE1117" s="1"/>
      <c r="JF1117" s="1"/>
      <c r="JG1117" s="1"/>
      <c r="JH1117" s="1"/>
      <c r="JI1117" s="1"/>
      <c r="JJ1117" s="1"/>
      <c r="JK1117" s="1"/>
      <c r="JL1117" s="1"/>
      <c r="JM1117" s="1"/>
      <c r="JN1117" s="1"/>
      <c r="JO1117" s="1"/>
      <c r="JP1117" s="1"/>
      <c r="JQ1117" s="1"/>
      <c r="JR1117" s="1"/>
      <c r="JS1117" s="1"/>
      <c r="JT1117" s="1"/>
      <c r="JU1117" s="1"/>
      <c r="JV1117" s="1"/>
    </row>
    <row r="1118" spans="1:282">
      <c r="A1118" s="1"/>
      <c r="B1118" s="1"/>
      <c r="C1118" s="1"/>
      <c r="D1118" s="1"/>
      <c r="E1118" s="1"/>
      <c r="F1118" s="36"/>
      <c r="G1118" s="36"/>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c r="DI1118" s="1"/>
      <c r="DJ1118" s="1"/>
      <c r="DK1118" s="1"/>
      <c r="DL1118" s="1"/>
      <c r="DM1118" s="1"/>
      <c r="DN1118" s="1"/>
      <c r="DO1118" s="1"/>
      <c r="DP1118" s="1"/>
      <c r="DQ1118" s="1"/>
      <c r="DR1118" s="1"/>
      <c r="DS1118" s="1"/>
      <c r="DT1118" s="1"/>
      <c r="DU1118" s="1"/>
      <c r="DV1118" s="1"/>
      <c r="DW1118" s="1"/>
      <c r="DX1118" s="1"/>
      <c r="DY1118" s="1"/>
      <c r="DZ1118" s="1"/>
      <c r="EA1118" s="1"/>
      <c r="EB1118" s="1"/>
      <c r="EC1118" s="1"/>
      <c r="ED1118" s="1"/>
      <c r="EE1118" s="1"/>
      <c r="EF1118" s="1"/>
      <c r="EG1118" s="1"/>
      <c r="EH1118" s="1"/>
      <c r="EI1118" s="1"/>
      <c r="EJ1118" s="1"/>
      <c r="EK1118" s="1"/>
      <c r="EL1118" s="1"/>
      <c r="EM1118" s="1"/>
      <c r="EN1118" s="1"/>
      <c r="EO1118" s="1"/>
      <c r="EP1118" s="1"/>
      <c r="EQ1118" s="1"/>
      <c r="ER1118" s="1"/>
      <c r="ES1118" s="1"/>
      <c r="ET1118" s="1"/>
      <c r="EU1118" s="1"/>
      <c r="EV1118" s="1"/>
      <c r="EW1118" s="1"/>
      <c r="EX1118" s="1"/>
      <c r="EY1118" s="1"/>
      <c r="EZ1118" s="1"/>
      <c r="FA1118" s="1"/>
      <c r="FB1118" s="1"/>
      <c r="FC1118" s="1"/>
      <c r="FD1118" s="1"/>
      <c r="FE1118" s="1"/>
      <c r="FF1118" s="1"/>
      <c r="FG1118" s="1"/>
      <c r="FH1118" s="1"/>
      <c r="FI1118" s="1"/>
      <c r="FJ1118" s="1"/>
      <c r="FK1118" s="1"/>
      <c r="FL1118" s="1"/>
      <c r="FM1118" s="1"/>
      <c r="FN1118" s="1"/>
      <c r="FO1118" s="1"/>
      <c r="FP1118" s="1"/>
      <c r="FQ1118" s="1"/>
      <c r="FR1118" s="1"/>
      <c r="FS1118" s="1"/>
      <c r="FT1118" s="1"/>
      <c r="FU1118" s="1"/>
      <c r="FV1118" s="1"/>
      <c r="FW1118" s="1"/>
      <c r="FX1118" s="1"/>
      <c r="FY1118" s="1"/>
      <c r="FZ1118" s="1"/>
      <c r="GA1118" s="1"/>
      <c r="GB1118" s="1"/>
      <c r="GC1118" s="1"/>
      <c r="GD1118" s="1"/>
      <c r="GE1118" s="1"/>
      <c r="GF1118" s="1"/>
      <c r="GG1118" s="1"/>
      <c r="GH1118" s="1"/>
      <c r="GI1118" s="1"/>
      <c r="GJ1118" s="1"/>
      <c r="GK1118" s="1"/>
      <c r="GL1118" s="1"/>
      <c r="GM1118" s="1"/>
      <c r="GN1118" s="1"/>
      <c r="GO1118" s="1"/>
      <c r="GP1118" s="1"/>
      <c r="GQ1118" s="1"/>
      <c r="GR1118" s="1"/>
      <c r="GS1118" s="1"/>
      <c r="GT1118" s="1"/>
      <c r="GU1118" s="1"/>
      <c r="GV1118" s="1"/>
      <c r="GW1118" s="1"/>
      <c r="GX1118" s="1"/>
      <c r="GY1118" s="1"/>
      <c r="GZ1118" s="1"/>
      <c r="HA1118" s="1"/>
      <c r="HB1118" s="1"/>
      <c r="HC1118" s="1"/>
      <c r="HD1118" s="1"/>
      <c r="HE1118" s="1"/>
      <c r="HF1118" s="1"/>
      <c r="HG1118" s="1"/>
      <c r="HH1118" s="1"/>
      <c r="HI1118" s="1"/>
      <c r="HJ1118" s="1"/>
      <c r="HK1118" s="1"/>
      <c r="HL1118" s="1"/>
      <c r="HM1118" s="1"/>
      <c r="HN1118" s="1"/>
      <c r="HO1118" s="1"/>
      <c r="HP1118" s="1"/>
      <c r="HQ1118" s="1"/>
      <c r="HR1118" s="1"/>
      <c r="HS1118" s="1"/>
      <c r="HT1118" s="1"/>
      <c r="HU1118" s="1"/>
      <c r="HV1118" s="1"/>
      <c r="HW1118" s="1"/>
      <c r="HX1118" s="1"/>
      <c r="HY1118" s="1"/>
      <c r="HZ1118" s="1"/>
      <c r="IA1118" s="1"/>
      <c r="IB1118" s="1"/>
      <c r="IC1118" s="1"/>
      <c r="ID1118" s="1"/>
      <c r="IE1118" s="1"/>
      <c r="IF1118" s="1"/>
      <c r="IG1118" s="1"/>
      <c r="IH1118" s="1"/>
      <c r="II1118" s="1"/>
      <c r="IJ1118" s="1"/>
      <c r="IK1118" s="1"/>
      <c r="IL1118" s="1"/>
      <c r="IM1118" s="1"/>
      <c r="IN1118" s="1"/>
      <c r="IO1118" s="1"/>
      <c r="IP1118" s="1"/>
      <c r="IQ1118" s="1"/>
      <c r="IR1118" s="1"/>
      <c r="IS1118" s="1"/>
      <c r="IT1118" s="1"/>
      <c r="IU1118" s="1"/>
      <c r="IV1118" s="1"/>
      <c r="IW1118" s="1"/>
      <c r="IX1118" s="1"/>
      <c r="IY1118" s="1"/>
      <c r="IZ1118" s="1"/>
      <c r="JA1118" s="1"/>
      <c r="JB1118" s="1"/>
      <c r="JC1118" s="1"/>
      <c r="JD1118" s="1"/>
      <c r="JE1118" s="1"/>
      <c r="JF1118" s="1"/>
      <c r="JG1118" s="1"/>
      <c r="JH1118" s="1"/>
      <c r="JI1118" s="1"/>
      <c r="JJ1118" s="1"/>
      <c r="JK1118" s="1"/>
      <c r="JL1118" s="1"/>
      <c r="JM1118" s="1"/>
      <c r="JN1118" s="1"/>
      <c r="JO1118" s="1"/>
      <c r="JP1118" s="1"/>
      <c r="JQ1118" s="1"/>
      <c r="JR1118" s="1"/>
      <c r="JS1118" s="1"/>
      <c r="JT1118" s="1"/>
      <c r="JU1118" s="1"/>
      <c r="JV1118" s="1"/>
    </row>
    <row r="1119" spans="1:282">
      <c r="A1119" s="1"/>
      <c r="B1119" s="1"/>
      <c r="C1119" s="1"/>
      <c r="D1119" s="1"/>
      <c r="E1119" s="1"/>
      <c r="F1119" s="36"/>
      <c r="G1119" s="36"/>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c r="CW1119" s="1"/>
      <c r="CX1119" s="1"/>
      <c r="CY1119" s="1"/>
      <c r="CZ1119" s="1"/>
      <c r="DA1119" s="1"/>
      <c r="DB1119" s="1"/>
      <c r="DC1119" s="1"/>
      <c r="DD1119" s="1"/>
      <c r="DE1119" s="1"/>
      <c r="DF1119" s="1"/>
      <c r="DG1119" s="1"/>
      <c r="DH1119" s="1"/>
      <c r="DI1119" s="1"/>
      <c r="DJ1119" s="1"/>
      <c r="DK1119" s="1"/>
      <c r="DL1119" s="1"/>
      <c r="DM1119" s="1"/>
      <c r="DN1119" s="1"/>
      <c r="DO1119" s="1"/>
      <c r="DP1119" s="1"/>
      <c r="DQ1119" s="1"/>
      <c r="DR1119" s="1"/>
      <c r="DS1119" s="1"/>
      <c r="DT1119" s="1"/>
      <c r="DU1119" s="1"/>
      <c r="DV1119" s="1"/>
      <c r="DW1119" s="1"/>
      <c r="DX1119" s="1"/>
      <c r="DY1119" s="1"/>
      <c r="DZ1119" s="1"/>
      <c r="EA1119" s="1"/>
      <c r="EB1119" s="1"/>
      <c r="EC1119" s="1"/>
      <c r="ED1119" s="1"/>
      <c r="EE1119" s="1"/>
      <c r="EF1119" s="1"/>
      <c r="EG1119" s="1"/>
      <c r="EH1119" s="1"/>
      <c r="EI1119" s="1"/>
      <c r="EJ1119" s="1"/>
      <c r="EK1119" s="1"/>
      <c r="EL1119" s="1"/>
      <c r="EM1119" s="1"/>
      <c r="EN1119" s="1"/>
      <c r="EO1119" s="1"/>
      <c r="EP1119" s="1"/>
      <c r="EQ1119" s="1"/>
      <c r="ER1119" s="1"/>
      <c r="ES1119" s="1"/>
      <c r="ET1119" s="1"/>
      <c r="EU1119" s="1"/>
      <c r="EV1119" s="1"/>
      <c r="EW1119" s="1"/>
      <c r="EX1119" s="1"/>
      <c r="EY1119" s="1"/>
      <c r="EZ1119" s="1"/>
      <c r="FA1119" s="1"/>
      <c r="FB1119" s="1"/>
      <c r="FC1119" s="1"/>
      <c r="FD1119" s="1"/>
      <c r="FE1119" s="1"/>
      <c r="FF1119" s="1"/>
      <c r="FG1119" s="1"/>
      <c r="FH1119" s="1"/>
      <c r="FI1119" s="1"/>
      <c r="FJ1119" s="1"/>
      <c r="FK1119" s="1"/>
      <c r="FL1119" s="1"/>
      <c r="FM1119" s="1"/>
      <c r="FN1119" s="1"/>
      <c r="FO1119" s="1"/>
      <c r="FP1119" s="1"/>
      <c r="FQ1119" s="1"/>
      <c r="FR1119" s="1"/>
      <c r="FS1119" s="1"/>
      <c r="FT1119" s="1"/>
      <c r="FU1119" s="1"/>
      <c r="FV1119" s="1"/>
      <c r="FW1119" s="1"/>
      <c r="FX1119" s="1"/>
      <c r="FY1119" s="1"/>
      <c r="FZ1119" s="1"/>
      <c r="GA1119" s="1"/>
      <c r="GB1119" s="1"/>
      <c r="GC1119" s="1"/>
      <c r="GD1119" s="1"/>
      <c r="GE1119" s="1"/>
      <c r="GF1119" s="1"/>
      <c r="GG1119" s="1"/>
      <c r="GH1119" s="1"/>
      <c r="GI1119" s="1"/>
      <c r="GJ1119" s="1"/>
      <c r="GK1119" s="1"/>
      <c r="GL1119" s="1"/>
      <c r="GM1119" s="1"/>
      <c r="GN1119" s="1"/>
      <c r="GO1119" s="1"/>
      <c r="GP1119" s="1"/>
      <c r="GQ1119" s="1"/>
      <c r="GR1119" s="1"/>
      <c r="GS1119" s="1"/>
      <c r="GT1119" s="1"/>
      <c r="GU1119" s="1"/>
      <c r="GV1119" s="1"/>
      <c r="GW1119" s="1"/>
      <c r="GX1119" s="1"/>
      <c r="GY1119" s="1"/>
      <c r="GZ1119" s="1"/>
      <c r="HA1119" s="1"/>
      <c r="HB1119" s="1"/>
      <c r="HC1119" s="1"/>
      <c r="HD1119" s="1"/>
      <c r="HE1119" s="1"/>
      <c r="HF1119" s="1"/>
      <c r="HG1119" s="1"/>
      <c r="HH1119" s="1"/>
      <c r="HI1119" s="1"/>
      <c r="HJ1119" s="1"/>
      <c r="HK1119" s="1"/>
      <c r="HL1119" s="1"/>
      <c r="HM1119" s="1"/>
      <c r="HN1119" s="1"/>
      <c r="HO1119" s="1"/>
      <c r="HP1119" s="1"/>
      <c r="HQ1119" s="1"/>
      <c r="HR1119" s="1"/>
      <c r="HS1119" s="1"/>
      <c r="HT1119" s="1"/>
      <c r="HU1119" s="1"/>
      <c r="HV1119" s="1"/>
      <c r="HW1119" s="1"/>
      <c r="HX1119" s="1"/>
      <c r="HY1119" s="1"/>
      <c r="HZ1119" s="1"/>
      <c r="IA1119" s="1"/>
      <c r="IB1119" s="1"/>
      <c r="IC1119" s="1"/>
      <c r="ID1119" s="1"/>
      <c r="IE1119" s="1"/>
      <c r="IF1119" s="1"/>
      <c r="IG1119" s="1"/>
      <c r="IH1119" s="1"/>
      <c r="II1119" s="1"/>
      <c r="IJ1119" s="1"/>
      <c r="IK1119" s="1"/>
      <c r="IL1119" s="1"/>
      <c r="IM1119" s="1"/>
      <c r="IN1119" s="1"/>
      <c r="IO1119" s="1"/>
      <c r="IP1119" s="1"/>
      <c r="IQ1119" s="1"/>
      <c r="IR1119" s="1"/>
      <c r="IS1119" s="1"/>
      <c r="IT1119" s="1"/>
      <c r="IU1119" s="1"/>
      <c r="IV1119" s="1"/>
      <c r="IW1119" s="1"/>
      <c r="IX1119" s="1"/>
      <c r="IY1119" s="1"/>
      <c r="IZ1119" s="1"/>
      <c r="JA1119" s="1"/>
      <c r="JB1119" s="1"/>
      <c r="JC1119" s="1"/>
      <c r="JD1119" s="1"/>
      <c r="JE1119" s="1"/>
      <c r="JF1119" s="1"/>
      <c r="JG1119" s="1"/>
      <c r="JH1119" s="1"/>
      <c r="JI1119" s="1"/>
      <c r="JJ1119" s="1"/>
      <c r="JK1119" s="1"/>
      <c r="JL1119" s="1"/>
      <c r="JM1119" s="1"/>
      <c r="JN1119" s="1"/>
      <c r="JO1119" s="1"/>
      <c r="JP1119" s="1"/>
      <c r="JQ1119" s="1"/>
      <c r="JR1119" s="1"/>
      <c r="JS1119" s="1"/>
      <c r="JT1119" s="1"/>
      <c r="JU1119" s="1"/>
      <c r="JV1119" s="1"/>
    </row>
    <row r="1120" spans="1:282">
      <c r="A1120" s="1"/>
      <c r="B1120" s="1"/>
      <c r="C1120" s="1"/>
      <c r="D1120" s="1"/>
      <c r="E1120" s="1"/>
      <c r="F1120" s="36"/>
      <c r="G1120" s="36"/>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c r="CS1120" s="1"/>
      <c r="CT1120" s="1"/>
      <c r="CU1120" s="1"/>
      <c r="CV1120" s="1"/>
      <c r="CW1120" s="1"/>
      <c r="CX1120" s="1"/>
      <c r="CY1120" s="1"/>
      <c r="CZ1120" s="1"/>
      <c r="DA1120" s="1"/>
      <c r="DB1120" s="1"/>
      <c r="DC1120" s="1"/>
      <c r="DD1120" s="1"/>
      <c r="DE1120" s="1"/>
      <c r="DF1120" s="1"/>
      <c r="DG1120" s="1"/>
      <c r="DH1120" s="1"/>
      <c r="DI1120" s="1"/>
      <c r="DJ1120" s="1"/>
      <c r="DK1120" s="1"/>
      <c r="DL1120" s="1"/>
      <c r="DM1120" s="1"/>
      <c r="DN1120" s="1"/>
      <c r="DO1120" s="1"/>
      <c r="DP1120" s="1"/>
      <c r="DQ1120" s="1"/>
      <c r="DR1120" s="1"/>
      <c r="DS1120" s="1"/>
      <c r="DT1120" s="1"/>
      <c r="DU1120" s="1"/>
      <c r="DV1120" s="1"/>
      <c r="DW1120" s="1"/>
      <c r="DX1120" s="1"/>
      <c r="DY1120" s="1"/>
      <c r="DZ1120" s="1"/>
      <c r="EA1120" s="1"/>
      <c r="EB1120" s="1"/>
      <c r="EC1120" s="1"/>
      <c r="ED1120" s="1"/>
      <c r="EE1120" s="1"/>
      <c r="EF1120" s="1"/>
      <c r="EG1120" s="1"/>
      <c r="EH1120" s="1"/>
      <c r="EI1120" s="1"/>
      <c r="EJ1120" s="1"/>
      <c r="EK1120" s="1"/>
      <c r="EL1120" s="1"/>
      <c r="EM1120" s="1"/>
      <c r="EN1120" s="1"/>
      <c r="EO1120" s="1"/>
      <c r="EP1120" s="1"/>
      <c r="EQ1120" s="1"/>
      <c r="ER1120" s="1"/>
      <c r="ES1120" s="1"/>
      <c r="ET1120" s="1"/>
      <c r="EU1120" s="1"/>
      <c r="EV1120" s="1"/>
      <c r="EW1120" s="1"/>
      <c r="EX1120" s="1"/>
      <c r="EY1120" s="1"/>
      <c r="EZ1120" s="1"/>
      <c r="FA1120" s="1"/>
      <c r="FB1120" s="1"/>
      <c r="FC1120" s="1"/>
      <c r="FD1120" s="1"/>
      <c r="FE1120" s="1"/>
      <c r="FF1120" s="1"/>
      <c r="FG1120" s="1"/>
      <c r="FH1120" s="1"/>
      <c r="FI1120" s="1"/>
      <c r="FJ1120" s="1"/>
      <c r="FK1120" s="1"/>
      <c r="FL1120" s="1"/>
      <c r="FM1120" s="1"/>
      <c r="FN1120" s="1"/>
      <c r="FO1120" s="1"/>
      <c r="FP1120" s="1"/>
      <c r="FQ1120" s="1"/>
      <c r="FR1120" s="1"/>
      <c r="FS1120" s="1"/>
      <c r="FT1120" s="1"/>
      <c r="FU1120" s="1"/>
      <c r="FV1120" s="1"/>
      <c r="FW1120" s="1"/>
      <c r="FX1120" s="1"/>
      <c r="FY1120" s="1"/>
      <c r="FZ1120" s="1"/>
      <c r="GA1120" s="1"/>
      <c r="GB1120" s="1"/>
      <c r="GC1120" s="1"/>
      <c r="GD1120" s="1"/>
      <c r="GE1120" s="1"/>
      <c r="GF1120" s="1"/>
      <c r="GG1120" s="1"/>
      <c r="GH1120" s="1"/>
      <c r="GI1120" s="1"/>
      <c r="GJ1120" s="1"/>
      <c r="GK1120" s="1"/>
      <c r="GL1120" s="1"/>
      <c r="GM1120" s="1"/>
      <c r="GN1120" s="1"/>
      <c r="GO1120" s="1"/>
      <c r="GP1120" s="1"/>
      <c r="GQ1120" s="1"/>
      <c r="GR1120" s="1"/>
      <c r="GS1120" s="1"/>
      <c r="GT1120" s="1"/>
      <c r="GU1120" s="1"/>
      <c r="GV1120" s="1"/>
      <c r="GW1120" s="1"/>
      <c r="GX1120" s="1"/>
      <c r="GY1120" s="1"/>
      <c r="GZ1120" s="1"/>
      <c r="HA1120" s="1"/>
      <c r="HB1120" s="1"/>
      <c r="HC1120" s="1"/>
      <c r="HD1120" s="1"/>
      <c r="HE1120" s="1"/>
      <c r="HF1120" s="1"/>
      <c r="HG1120" s="1"/>
      <c r="HH1120" s="1"/>
      <c r="HI1120" s="1"/>
      <c r="HJ1120" s="1"/>
      <c r="HK1120" s="1"/>
      <c r="HL1120" s="1"/>
      <c r="HM1120" s="1"/>
      <c r="HN1120" s="1"/>
      <c r="HO1120" s="1"/>
      <c r="HP1120" s="1"/>
      <c r="HQ1120" s="1"/>
      <c r="HR1120" s="1"/>
      <c r="HS1120" s="1"/>
      <c r="HT1120" s="1"/>
      <c r="HU1120" s="1"/>
      <c r="HV1120" s="1"/>
      <c r="HW1120" s="1"/>
      <c r="HX1120" s="1"/>
      <c r="HY1120" s="1"/>
      <c r="HZ1120" s="1"/>
      <c r="IA1120" s="1"/>
      <c r="IB1120" s="1"/>
      <c r="IC1120" s="1"/>
      <c r="ID1120" s="1"/>
      <c r="IE1120" s="1"/>
      <c r="IF1120" s="1"/>
      <c r="IG1120" s="1"/>
      <c r="IH1120" s="1"/>
      <c r="II1120" s="1"/>
      <c r="IJ1120" s="1"/>
      <c r="IK1120" s="1"/>
      <c r="IL1120" s="1"/>
      <c r="IM1120" s="1"/>
      <c r="IN1120" s="1"/>
      <c r="IO1120" s="1"/>
      <c r="IP1120" s="1"/>
      <c r="IQ1120" s="1"/>
      <c r="IR1120" s="1"/>
      <c r="IS1120" s="1"/>
      <c r="IT1120" s="1"/>
      <c r="IU1120" s="1"/>
      <c r="IV1120" s="1"/>
      <c r="IW1120" s="1"/>
      <c r="IX1120" s="1"/>
      <c r="IY1120" s="1"/>
      <c r="IZ1120" s="1"/>
      <c r="JA1120" s="1"/>
      <c r="JB1120" s="1"/>
      <c r="JC1120" s="1"/>
      <c r="JD1120" s="1"/>
      <c r="JE1120" s="1"/>
      <c r="JF1120" s="1"/>
      <c r="JG1120" s="1"/>
      <c r="JH1120" s="1"/>
      <c r="JI1120" s="1"/>
      <c r="JJ1120" s="1"/>
      <c r="JK1120" s="1"/>
      <c r="JL1120" s="1"/>
      <c r="JM1120" s="1"/>
      <c r="JN1120" s="1"/>
      <c r="JO1120" s="1"/>
      <c r="JP1120" s="1"/>
      <c r="JQ1120" s="1"/>
      <c r="JR1120" s="1"/>
      <c r="JS1120" s="1"/>
      <c r="JT1120" s="1"/>
      <c r="JU1120" s="1"/>
      <c r="JV1120" s="1"/>
    </row>
    <row r="1121" spans="1:282">
      <c r="A1121" s="1"/>
      <c r="B1121" s="1"/>
      <c r="C1121" s="1"/>
      <c r="D1121" s="1"/>
      <c r="E1121" s="1"/>
      <c r="F1121" s="36"/>
      <c r="G1121" s="36"/>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c r="BK1121" s="1"/>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c r="CS1121" s="1"/>
      <c r="CT1121" s="1"/>
      <c r="CU1121" s="1"/>
      <c r="CV1121" s="1"/>
      <c r="CW1121" s="1"/>
      <c r="CX1121" s="1"/>
      <c r="CY1121" s="1"/>
      <c r="CZ1121" s="1"/>
      <c r="DA1121" s="1"/>
      <c r="DB1121" s="1"/>
      <c r="DC1121" s="1"/>
      <c r="DD1121" s="1"/>
      <c r="DE1121" s="1"/>
      <c r="DF1121" s="1"/>
      <c r="DG1121" s="1"/>
      <c r="DH1121" s="1"/>
      <c r="DI1121" s="1"/>
      <c r="DJ1121" s="1"/>
      <c r="DK1121" s="1"/>
      <c r="DL1121" s="1"/>
      <c r="DM1121" s="1"/>
      <c r="DN1121" s="1"/>
      <c r="DO1121" s="1"/>
      <c r="DP1121" s="1"/>
      <c r="DQ1121" s="1"/>
      <c r="DR1121" s="1"/>
      <c r="DS1121" s="1"/>
      <c r="DT1121" s="1"/>
      <c r="DU1121" s="1"/>
      <c r="DV1121" s="1"/>
      <c r="DW1121" s="1"/>
      <c r="DX1121" s="1"/>
      <c r="DY1121" s="1"/>
      <c r="DZ1121" s="1"/>
      <c r="EA1121" s="1"/>
      <c r="EB1121" s="1"/>
      <c r="EC1121" s="1"/>
      <c r="ED1121" s="1"/>
      <c r="EE1121" s="1"/>
      <c r="EF1121" s="1"/>
      <c r="EG1121" s="1"/>
      <c r="EH1121" s="1"/>
      <c r="EI1121" s="1"/>
      <c r="EJ1121" s="1"/>
      <c r="EK1121" s="1"/>
      <c r="EL1121" s="1"/>
      <c r="EM1121" s="1"/>
      <c r="EN1121" s="1"/>
      <c r="EO1121" s="1"/>
      <c r="EP1121" s="1"/>
      <c r="EQ1121" s="1"/>
      <c r="ER1121" s="1"/>
      <c r="ES1121" s="1"/>
      <c r="ET1121" s="1"/>
      <c r="EU1121" s="1"/>
      <c r="EV1121" s="1"/>
      <c r="EW1121" s="1"/>
      <c r="EX1121" s="1"/>
      <c r="EY1121" s="1"/>
      <c r="EZ1121" s="1"/>
      <c r="FA1121" s="1"/>
      <c r="FB1121" s="1"/>
      <c r="FC1121" s="1"/>
      <c r="FD1121" s="1"/>
      <c r="FE1121" s="1"/>
      <c r="FF1121" s="1"/>
      <c r="FG1121" s="1"/>
      <c r="FH1121" s="1"/>
      <c r="FI1121" s="1"/>
      <c r="FJ1121" s="1"/>
      <c r="FK1121" s="1"/>
      <c r="FL1121" s="1"/>
      <c r="FM1121" s="1"/>
      <c r="FN1121" s="1"/>
      <c r="FO1121" s="1"/>
      <c r="FP1121" s="1"/>
      <c r="FQ1121" s="1"/>
      <c r="FR1121" s="1"/>
      <c r="FS1121" s="1"/>
      <c r="FT1121" s="1"/>
      <c r="FU1121" s="1"/>
      <c r="FV1121" s="1"/>
      <c r="FW1121" s="1"/>
      <c r="FX1121" s="1"/>
      <c r="FY1121" s="1"/>
      <c r="FZ1121" s="1"/>
      <c r="GA1121" s="1"/>
      <c r="GB1121" s="1"/>
      <c r="GC1121" s="1"/>
      <c r="GD1121" s="1"/>
      <c r="GE1121" s="1"/>
      <c r="GF1121" s="1"/>
      <c r="GG1121" s="1"/>
      <c r="GH1121" s="1"/>
      <c r="GI1121" s="1"/>
      <c r="GJ1121" s="1"/>
      <c r="GK1121" s="1"/>
      <c r="GL1121" s="1"/>
      <c r="GM1121" s="1"/>
      <c r="GN1121" s="1"/>
      <c r="GO1121" s="1"/>
      <c r="GP1121" s="1"/>
      <c r="GQ1121" s="1"/>
      <c r="GR1121" s="1"/>
      <c r="GS1121" s="1"/>
      <c r="GT1121" s="1"/>
      <c r="GU1121" s="1"/>
      <c r="GV1121" s="1"/>
      <c r="GW1121" s="1"/>
      <c r="GX1121" s="1"/>
      <c r="GY1121" s="1"/>
      <c r="GZ1121" s="1"/>
      <c r="HA1121" s="1"/>
      <c r="HB1121" s="1"/>
      <c r="HC1121" s="1"/>
      <c r="HD1121" s="1"/>
      <c r="HE1121" s="1"/>
      <c r="HF1121" s="1"/>
      <c r="HG1121" s="1"/>
      <c r="HH1121" s="1"/>
      <c r="HI1121" s="1"/>
      <c r="HJ1121" s="1"/>
      <c r="HK1121" s="1"/>
      <c r="HL1121" s="1"/>
      <c r="HM1121" s="1"/>
      <c r="HN1121" s="1"/>
      <c r="HO1121" s="1"/>
      <c r="HP1121" s="1"/>
      <c r="HQ1121" s="1"/>
      <c r="HR1121" s="1"/>
      <c r="HS1121" s="1"/>
      <c r="HT1121" s="1"/>
      <c r="HU1121" s="1"/>
      <c r="HV1121" s="1"/>
      <c r="HW1121" s="1"/>
      <c r="HX1121" s="1"/>
      <c r="HY1121" s="1"/>
      <c r="HZ1121" s="1"/>
      <c r="IA1121" s="1"/>
      <c r="IB1121" s="1"/>
      <c r="IC1121" s="1"/>
      <c r="ID1121" s="1"/>
      <c r="IE1121" s="1"/>
      <c r="IF1121" s="1"/>
      <c r="IG1121" s="1"/>
      <c r="IH1121" s="1"/>
      <c r="II1121" s="1"/>
      <c r="IJ1121" s="1"/>
      <c r="IK1121" s="1"/>
      <c r="IL1121" s="1"/>
      <c r="IM1121" s="1"/>
      <c r="IN1121" s="1"/>
      <c r="IO1121" s="1"/>
      <c r="IP1121" s="1"/>
      <c r="IQ1121" s="1"/>
      <c r="IR1121" s="1"/>
      <c r="IS1121" s="1"/>
      <c r="IT1121" s="1"/>
      <c r="IU1121" s="1"/>
      <c r="IV1121" s="1"/>
      <c r="IW1121" s="1"/>
      <c r="IX1121" s="1"/>
      <c r="IY1121" s="1"/>
      <c r="IZ1121" s="1"/>
      <c r="JA1121" s="1"/>
      <c r="JB1121" s="1"/>
      <c r="JC1121" s="1"/>
      <c r="JD1121" s="1"/>
      <c r="JE1121" s="1"/>
      <c r="JF1121" s="1"/>
      <c r="JG1121" s="1"/>
      <c r="JH1121" s="1"/>
      <c r="JI1121" s="1"/>
      <c r="JJ1121" s="1"/>
      <c r="JK1121" s="1"/>
      <c r="JL1121" s="1"/>
      <c r="JM1121" s="1"/>
      <c r="JN1121" s="1"/>
      <c r="JO1121" s="1"/>
      <c r="JP1121" s="1"/>
      <c r="JQ1121" s="1"/>
      <c r="JR1121" s="1"/>
      <c r="JS1121" s="1"/>
      <c r="JT1121" s="1"/>
      <c r="JU1121" s="1"/>
      <c r="JV1121" s="1"/>
    </row>
    <row r="1122" spans="1:282">
      <c r="A1122" s="1"/>
      <c r="B1122" s="1"/>
      <c r="C1122" s="1"/>
      <c r="D1122" s="1"/>
      <c r="E1122" s="1"/>
      <c r="F1122" s="36"/>
      <c r="G1122" s="36"/>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c r="CS1122" s="1"/>
      <c r="CT1122" s="1"/>
      <c r="CU1122" s="1"/>
      <c r="CV1122" s="1"/>
      <c r="CW1122" s="1"/>
      <c r="CX1122" s="1"/>
      <c r="CY1122" s="1"/>
      <c r="CZ1122" s="1"/>
      <c r="DA1122" s="1"/>
      <c r="DB1122" s="1"/>
      <c r="DC1122" s="1"/>
      <c r="DD1122" s="1"/>
      <c r="DE1122" s="1"/>
      <c r="DF1122" s="1"/>
      <c r="DG1122" s="1"/>
      <c r="DH1122" s="1"/>
      <c r="DI1122" s="1"/>
      <c r="DJ1122" s="1"/>
      <c r="DK1122" s="1"/>
      <c r="DL1122" s="1"/>
      <c r="DM1122" s="1"/>
      <c r="DN1122" s="1"/>
      <c r="DO1122" s="1"/>
      <c r="DP1122" s="1"/>
      <c r="DQ1122" s="1"/>
      <c r="DR1122" s="1"/>
      <c r="DS1122" s="1"/>
      <c r="DT1122" s="1"/>
      <c r="DU1122" s="1"/>
      <c r="DV1122" s="1"/>
      <c r="DW1122" s="1"/>
      <c r="DX1122" s="1"/>
      <c r="DY1122" s="1"/>
      <c r="DZ1122" s="1"/>
      <c r="EA1122" s="1"/>
      <c r="EB1122" s="1"/>
      <c r="EC1122" s="1"/>
      <c r="ED1122" s="1"/>
      <c r="EE1122" s="1"/>
      <c r="EF1122" s="1"/>
      <c r="EG1122" s="1"/>
      <c r="EH1122" s="1"/>
      <c r="EI1122" s="1"/>
      <c r="EJ1122" s="1"/>
      <c r="EK1122" s="1"/>
      <c r="EL1122" s="1"/>
      <c r="EM1122" s="1"/>
      <c r="EN1122" s="1"/>
      <c r="EO1122" s="1"/>
      <c r="EP1122" s="1"/>
      <c r="EQ1122" s="1"/>
      <c r="ER1122" s="1"/>
      <c r="ES1122" s="1"/>
      <c r="ET1122" s="1"/>
      <c r="EU1122" s="1"/>
      <c r="EV1122" s="1"/>
      <c r="EW1122" s="1"/>
      <c r="EX1122" s="1"/>
      <c r="EY1122" s="1"/>
      <c r="EZ1122" s="1"/>
      <c r="FA1122" s="1"/>
      <c r="FB1122" s="1"/>
      <c r="FC1122" s="1"/>
      <c r="FD1122" s="1"/>
      <c r="FE1122" s="1"/>
      <c r="FF1122" s="1"/>
      <c r="FG1122" s="1"/>
      <c r="FH1122" s="1"/>
      <c r="FI1122" s="1"/>
      <c r="FJ1122" s="1"/>
      <c r="FK1122" s="1"/>
      <c r="FL1122" s="1"/>
      <c r="FM1122" s="1"/>
      <c r="FN1122" s="1"/>
      <c r="FO1122" s="1"/>
      <c r="FP1122" s="1"/>
      <c r="FQ1122" s="1"/>
      <c r="FR1122" s="1"/>
      <c r="FS1122" s="1"/>
      <c r="FT1122" s="1"/>
      <c r="FU1122" s="1"/>
      <c r="FV1122" s="1"/>
      <c r="FW1122" s="1"/>
      <c r="FX1122" s="1"/>
      <c r="FY1122" s="1"/>
      <c r="FZ1122" s="1"/>
      <c r="GA1122" s="1"/>
      <c r="GB1122" s="1"/>
      <c r="GC1122" s="1"/>
      <c r="GD1122" s="1"/>
      <c r="GE1122" s="1"/>
      <c r="GF1122" s="1"/>
      <c r="GG1122" s="1"/>
      <c r="GH1122" s="1"/>
      <c r="GI1122" s="1"/>
      <c r="GJ1122" s="1"/>
      <c r="GK1122" s="1"/>
      <c r="GL1122" s="1"/>
      <c r="GM1122" s="1"/>
      <c r="GN1122" s="1"/>
      <c r="GO1122" s="1"/>
      <c r="GP1122" s="1"/>
      <c r="GQ1122" s="1"/>
      <c r="GR1122" s="1"/>
      <c r="GS1122" s="1"/>
      <c r="GT1122" s="1"/>
      <c r="GU1122" s="1"/>
      <c r="GV1122" s="1"/>
      <c r="GW1122" s="1"/>
      <c r="GX1122" s="1"/>
      <c r="GY1122" s="1"/>
      <c r="GZ1122" s="1"/>
      <c r="HA1122" s="1"/>
      <c r="HB1122" s="1"/>
      <c r="HC1122" s="1"/>
      <c r="HD1122" s="1"/>
      <c r="HE1122" s="1"/>
      <c r="HF1122" s="1"/>
      <c r="HG1122" s="1"/>
      <c r="HH1122" s="1"/>
      <c r="HI1122" s="1"/>
      <c r="HJ1122" s="1"/>
      <c r="HK1122" s="1"/>
      <c r="HL1122" s="1"/>
      <c r="HM1122" s="1"/>
      <c r="HN1122" s="1"/>
      <c r="HO1122" s="1"/>
      <c r="HP1122" s="1"/>
      <c r="HQ1122" s="1"/>
      <c r="HR1122" s="1"/>
      <c r="HS1122" s="1"/>
      <c r="HT1122" s="1"/>
      <c r="HU1122" s="1"/>
      <c r="HV1122" s="1"/>
      <c r="HW1122" s="1"/>
      <c r="HX1122" s="1"/>
      <c r="HY1122" s="1"/>
      <c r="HZ1122" s="1"/>
      <c r="IA1122" s="1"/>
      <c r="IB1122" s="1"/>
      <c r="IC1122" s="1"/>
      <c r="ID1122" s="1"/>
      <c r="IE1122" s="1"/>
      <c r="IF1122" s="1"/>
      <c r="IG1122" s="1"/>
      <c r="IH1122" s="1"/>
      <c r="II1122" s="1"/>
      <c r="IJ1122" s="1"/>
      <c r="IK1122" s="1"/>
      <c r="IL1122" s="1"/>
      <c r="IM1122" s="1"/>
      <c r="IN1122" s="1"/>
      <c r="IO1122" s="1"/>
      <c r="IP1122" s="1"/>
      <c r="IQ1122" s="1"/>
      <c r="IR1122" s="1"/>
      <c r="IS1122" s="1"/>
      <c r="IT1122" s="1"/>
      <c r="IU1122" s="1"/>
      <c r="IV1122" s="1"/>
      <c r="IW1122" s="1"/>
      <c r="IX1122" s="1"/>
      <c r="IY1122" s="1"/>
      <c r="IZ1122" s="1"/>
      <c r="JA1122" s="1"/>
      <c r="JB1122" s="1"/>
      <c r="JC1122" s="1"/>
      <c r="JD1122" s="1"/>
      <c r="JE1122" s="1"/>
      <c r="JF1122" s="1"/>
      <c r="JG1122" s="1"/>
      <c r="JH1122" s="1"/>
      <c r="JI1122" s="1"/>
      <c r="JJ1122" s="1"/>
      <c r="JK1122" s="1"/>
      <c r="JL1122" s="1"/>
      <c r="JM1122" s="1"/>
      <c r="JN1122" s="1"/>
      <c r="JO1122" s="1"/>
      <c r="JP1122" s="1"/>
      <c r="JQ1122" s="1"/>
      <c r="JR1122" s="1"/>
      <c r="JS1122" s="1"/>
      <c r="JT1122" s="1"/>
      <c r="JU1122" s="1"/>
      <c r="JV1122" s="1"/>
    </row>
    <row r="1123" spans="1:282">
      <c r="A1123" s="1"/>
      <c r="B1123" s="1"/>
      <c r="C1123" s="1"/>
      <c r="D1123" s="1"/>
      <c r="E1123" s="1"/>
      <c r="F1123" s="36"/>
      <c r="G1123" s="36"/>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c r="CS1123" s="1"/>
      <c r="CT1123" s="1"/>
      <c r="CU1123" s="1"/>
      <c r="CV1123" s="1"/>
      <c r="CW1123" s="1"/>
      <c r="CX1123" s="1"/>
      <c r="CY1123" s="1"/>
      <c r="CZ1123" s="1"/>
      <c r="DA1123" s="1"/>
      <c r="DB1123" s="1"/>
      <c r="DC1123" s="1"/>
      <c r="DD1123" s="1"/>
      <c r="DE1123" s="1"/>
      <c r="DF1123" s="1"/>
      <c r="DG1123" s="1"/>
      <c r="DH1123" s="1"/>
      <c r="DI1123" s="1"/>
      <c r="DJ1123" s="1"/>
      <c r="DK1123" s="1"/>
      <c r="DL1123" s="1"/>
      <c r="DM1123" s="1"/>
      <c r="DN1123" s="1"/>
      <c r="DO1123" s="1"/>
      <c r="DP1123" s="1"/>
      <c r="DQ1123" s="1"/>
      <c r="DR1123" s="1"/>
      <c r="DS1123" s="1"/>
      <c r="DT1123" s="1"/>
      <c r="DU1123" s="1"/>
      <c r="DV1123" s="1"/>
      <c r="DW1123" s="1"/>
      <c r="DX1123" s="1"/>
      <c r="DY1123" s="1"/>
      <c r="DZ1123" s="1"/>
      <c r="EA1123" s="1"/>
      <c r="EB1123" s="1"/>
      <c r="EC1123" s="1"/>
      <c r="ED1123" s="1"/>
      <c r="EE1123" s="1"/>
      <c r="EF1123" s="1"/>
      <c r="EG1123" s="1"/>
      <c r="EH1123" s="1"/>
      <c r="EI1123" s="1"/>
      <c r="EJ1123" s="1"/>
      <c r="EK1123" s="1"/>
      <c r="EL1123" s="1"/>
      <c r="EM1123" s="1"/>
      <c r="EN1123" s="1"/>
      <c r="EO1123" s="1"/>
      <c r="EP1123" s="1"/>
      <c r="EQ1123" s="1"/>
      <c r="ER1123" s="1"/>
      <c r="ES1123" s="1"/>
      <c r="ET1123" s="1"/>
      <c r="EU1123" s="1"/>
      <c r="EV1123" s="1"/>
      <c r="EW1123" s="1"/>
      <c r="EX1123" s="1"/>
      <c r="EY1123" s="1"/>
      <c r="EZ1123" s="1"/>
      <c r="FA1123" s="1"/>
      <c r="FB1123" s="1"/>
      <c r="FC1123" s="1"/>
      <c r="FD1123" s="1"/>
      <c r="FE1123" s="1"/>
      <c r="FF1123" s="1"/>
      <c r="FG1123" s="1"/>
      <c r="FH1123" s="1"/>
      <c r="FI1123" s="1"/>
      <c r="FJ1123" s="1"/>
      <c r="FK1123" s="1"/>
      <c r="FL1123" s="1"/>
      <c r="FM1123" s="1"/>
      <c r="FN1123" s="1"/>
      <c r="FO1123" s="1"/>
      <c r="FP1123" s="1"/>
      <c r="FQ1123" s="1"/>
      <c r="FR1123" s="1"/>
      <c r="FS1123" s="1"/>
      <c r="FT1123" s="1"/>
      <c r="FU1123" s="1"/>
      <c r="FV1123" s="1"/>
      <c r="FW1123" s="1"/>
      <c r="FX1123" s="1"/>
      <c r="FY1123" s="1"/>
      <c r="FZ1123" s="1"/>
      <c r="GA1123" s="1"/>
      <c r="GB1123" s="1"/>
      <c r="GC1123" s="1"/>
      <c r="GD1123" s="1"/>
      <c r="GE1123" s="1"/>
      <c r="GF1123" s="1"/>
      <c r="GG1123" s="1"/>
      <c r="GH1123" s="1"/>
      <c r="GI1123" s="1"/>
      <c r="GJ1123" s="1"/>
      <c r="GK1123" s="1"/>
      <c r="GL1123" s="1"/>
      <c r="GM1123" s="1"/>
      <c r="GN1123" s="1"/>
      <c r="GO1123" s="1"/>
      <c r="GP1123" s="1"/>
      <c r="GQ1123" s="1"/>
      <c r="GR1123" s="1"/>
      <c r="GS1123" s="1"/>
      <c r="GT1123" s="1"/>
      <c r="GU1123" s="1"/>
      <c r="GV1123" s="1"/>
      <c r="GW1123" s="1"/>
      <c r="GX1123" s="1"/>
      <c r="GY1123" s="1"/>
      <c r="GZ1123" s="1"/>
      <c r="HA1123" s="1"/>
      <c r="HB1123" s="1"/>
      <c r="HC1123" s="1"/>
      <c r="HD1123" s="1"/>
      <c r="HE1123" s="1"/>
      <c r="HF1123" s="1"/>
      <c r="HG1123" s="1"/>
      <c r="HH1123" s="1"/>
      <c r="HI1123" s="1"/>
      <c r="HJ1123" s="1"/>
      <c r="HK1123" s="1"/>
      <c r="HL1123" s="1"/>
      <c r="HM1123" s="1"/>
      <c r="HN1123" s="1"/>
      <c r="HO1123" s="1"/>
      <c r="HP1123" s="1"/>
      <c r="HQ1123" s="1"/>
      <c r="HR1123" s="1"/>
      <c r="HS1123" s="1"/>
      <c r="HT1123" s="1"/>
      <c r="HU1123" s="1"/>
      <c r="HV1123" s="1"/>
      <c r="HW1123" s="1"/>
      <c r="HX1123" s="1"/>
      <c r="HY1123" s="1"/>
      <c r="HZ1123" s="1"/>
      <c r="IA1123" s="1"/>
      <c r="IB1123" s="1"/>
      <c r="IC1123" s="1"/>
      <c r="ID1123" s="1"/>
      <c r="IE1123" s="1"/>
      <c r="IF1123" s="1"/>
      <c r="IG1123" s="1"/>
      <c r="IH1123" s="1"/>
      <c r="II1123" s="1"/>
      <c r="IJ1123" s="1"/>
      <c r="IK1123" s="1"/>
      <c r="IL1123" s="1"/>
      <c r="IM1123" s="1"/>
      <c r="IN1123" s="1"/>
      <c r="IO1123" s="1"/>
      <c r="IP1123" s="1"/>
      <c r="IQ1123" s="1"/>
      <c r="IR1123" s="1"/>
      <c r="IS1123" s="1"/>
      <c r="IT1123" s="1"/>
      <c r="IU1123" s="1"/>
      <c r="IV1123" s="1"/>
      <c r="IW1123" s="1"/>
      <c r="IX1123" s="1"/>
      <c r="IY1123" s="1"/>
      <c r="IZ1123" s="1"/>
      <c r="JA1123" s="1"/>
      <c r="JB1123" s="1"/>
      <c r="JC1123" s="1"/>
      <c r="JD1123" s="1"/>
      <c r="JE1123" s="1"/>
      <c r="JF1123" s="1"/>
      <c r="JG1123" s="1"/>
      <c r="JH1123" s="1"/>
      <c r="JI1123" s="1"/>
      <c r="JJ1123" s="1"/>
      <c r="JK1123" s="1"/>
      <c r="JL1123" s="1"/>
      <c r="JM1123" s="1"/>
      <c r="JN1123" s="1"/>
      <c r="JO1123" s="1"/>
      <c r="JP1123" s="1"/>
      <c r="JQ1123" s="1"/>
      <c r="JR1123" s="1"/>
      <c r="JS1123" s="1"/>
      <c r="JT1123" s="1"/>
      <c r="JU1123" s="1"/>
      <c r="JV1123" s="1"/>
    </row>
    <row r="1124" spans="1:282">
      <c r="A1124" s="1"/>
      <c r="B1124" s="1"/>
      <c r="C1124" s="1"/>
      <c r="D1124" s="1"/>
      <c r="E1124" s="1"/>
      <c r="F1124" s="36"/>
      <c r="G1124" s="36"/>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c r="BK1124" s="1"/>
      <c r="BL1124" s="1"/>
      <c r="BM1124" s="1"/>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c r="CR1124" s="1"/>
      <c r="CS1124" s="1"/>
      <c r="CT1124" s="1"/>
      <c r="CU1124" s="1"/>
      <c r="CV1124" s="1"/>
      <c r="CW1124" s="1"/>
      <c r="CX1124" s="1"/>
      <c r="CY1124" s="1"/>
      <c r="CZ1124" s="1"/>
      <c r="DA1124" s="1"/>
      <c r="DB1124" s="1"/>
      <c r="DC1124" s="1"/>
      <c r="DD1124" s="1"/>
      <c r="DE1124" s="1"/>
      <c r="DF1124" s="1"/>
      <c r="DG1124" s="1"/>
      <c r="DH1124" s="1"/>
      <c r="DI1124" s="1"/>
      <c r="DJ1124" s="1"/>
      <c r="DK1124" s="1"/>
      <c r="DL1124" s="1"/>
      <c r="DM1124" s="1"/>
      <c r="DN1124" s="1"/>
      <c r="DO1124" s="1"/>
      <c r="DP1124" s="1"/>
      <c r="DQ1124" s="1"/>
      <c r="DR1124" s="1"/>
      <c r="DS1124" s="1"/>
      <c r="DT1124" s="1"/>
      <c r="DU1124" s="1"/>
      <c r="DV1124" s="1"/>
      <c r="DW1124" s="1"/>
      <c r="DX1124" s="1"/>
      <c r="DY1124" s="1"/>
      <c r="DZ1124" s="1"/>
      <c r="EA1124" s="1"/>
      <c r="EB1124" s="1"/>
      <c r="EC1124" s="1"/>
      <c r="ED1124" s="1"/>
      <c r="EE1124" s="1"/>
      <c r="EF1124" s="1"/>
      <c r="EG1124" s="1"/>
      <c r="EH1124" s="1"/>
      <c r="EI1124" s="1"/>
      <c r="EJ1124" s="1"/>
      <c r="EK1124" s="1"/>
      <c r="EL1124" s="1"/>
      <c r="EM1124" s="1"/>
      <c r="EN1124" s="1"/>
      <c r="EO1124" s="1"/>
      <c r="EP1124" s="1"/>
      <c r="EQ1124" s="1"/>
      <c r="ER1124" s="1"/>
      <c r="ES1124" s="1"/>
      <c r="ET1124" s="1"/>
      <c r="EU1124" s="1"/>
      <c r="EV1124" s="1"/>
      <c r="EW1124" s="1"/>
      <c r="EX1124" s="1"/>
      <c r="EY1124" s="1"/>
      <c r="EZ1124" s="1"/>
      <c r="FA1124" s="1"/>
      <c r="FB1124" s="1"/>
      <c r="FC1124" s="1"/>
      <c r="FD1124" s="1"/>
      <c r="FE1124" s="1"/>
      <c r="FF1124" s="1"/>
      <c r="FG1124" s="1"/>
      <c r="FH1124" s="1"/>
      <c r="FI1124" s="1"/>
      <c r="FJ1124" s="1"/>
      <c r="FK1124" s="1"/>
      <c r="FL1124" s="1"/>
      <c r="FM1124" s="1"/>
      <c r="FN1124" s="1"/>
      <c r="FO1124" s="1"/>
      <c r="FP1124" s="1"/>
      <c r="FQ1124" s="1"/>
      <c r="FR1124" s="1"/>
      <c r="FS1124" s="1"/>
      <c r="FT1124" s="1"/>
      <c r="FU1124" s="1"/>
      <c r="FV1124" s="1"/>
      <c r="FW1124" s="1"/>
      <c r="FX1124" s="1"/>
      <c r="FY1124" s="1"/>
      <c r="FZ1124" s="1"/>
      <c r="GA1124" s="1"/>
      <c r="GB1124" s="1"/>
      <c r="GC1124" s="1"/>
      <c r="GD1124" s="1"/>
      <c r="GE1124" s="1"/>
      <c r="GF1124" s="1"/>
      <c r="GG1124" s="1"/>
      <c r="GH1124" s="1"/>
      <c r="GI1124" s="1"/>
      <c r="GJ1124" s="1"/>
      <c r="GK1124" s="1"/>
      <c r="GL1124" s="1"/>
      <c r="GM1124" s="1"/>
      <c r="GN1124" s="1"/>
      <c r="GO1124" s="1"/>
      <c r="GP1124" s="1"/>
      <c r="GQ1124" s="1"/>
      <c r="GR1124" s="1"/>
      <c r="GS1124" s="1"/>
      <c r="GT1124" s="1"/>
      <c r="GU1124" s="1"/>
      <c r="GV1124" s="1"/>
      <c r="GW1124" s="1"/>
      <c r="GX1124" s="1"/>
      <c r="GY1124" s="1"/>
      <c r="GZ1124" s="1"/>
      <c r="HA1124" s="1"/>
      <c r="HB1124" s="1"/>
      <c r="HC1124" s="1"/>
      <c r="HD1124" s="1"/>
      <c r="HE1124" s="1"/>
      <c r="HF1124" s="1"/>
      <c r="HG1124" s="1"/>
      <c r="HH1124" s="1"/>
      <c r="HI1124" s="1"/>
      <c r="HJ1124" s="1"/>
      <c r="HK1124" s="1"/>
      <c r="HL1124" s="1"/>
      <c r="HM1124" s="1"/>
      <c r="HN1124" s="1"/>
      <c r="HO1124" s="1"/>
      <c r="HP1124" s="1"/>
      <c r="HQ1124" s="1"/>
      <c r="HR1124" s="1"/>
      <c r="HS1124" s="1"/>
      <c r="HT1124" s="1"/>
      <c r="HU1124" s="1"/>
      <c r="HV1124" s="1"/>
      <c r="HW1124" s="1"/>
      <c r="HX1124" s="1"/>
      <c r="HY1124" s="1"/>
      <c r="HZ1124" s="1"/>
      <c r="IA1124" s="1"/>
      <c r="IB1124" s="1"/>
      <c r="IC1124" s="1"/>
      <c r="ID1124" s="1"/>
      <c r="IE1124" s="1"/>
      <c r="IF1124" s="1"/>
      <c r="IG1124" s="1"/>
      <c r="IH1124" s="1"/>
      <c r="II1124" s="1"/>
      <c r="IJ1124" s="1"/>
      <c r="IK1124" s="1"/>
      <c r="IL1124" s="1"/>
      <c r="IM1124" s="1"/>
      <c r="IN1124" s="1"/>
      <c r="IO1124" s="1"/>
      <c r="IP1124" s="1"/>
      <c r="IQ1124" s="1"/>
      <c r="IR1124" s="1"/>
      <c r="IS1124" s="1"/>
      <c r="IT1124" s="1"/>
      <c r="IU1124" s="1"/>
      <c r="IV1124" s="1"/>
      <c r="IW1124" s="1"/>
      <c r="IX1124" s="1"/>
      <c r="IY1124" s="1"/>
      <c r="IZ1124" s="1"/>
      <c r="JA1124" s="1"/>
      <c r="JB1124" s="1"/>
      <c r="JC1124" s="1"/>
      <c r="JD1124" s="1"/>
      <c r="JE1124" s="1"/>
      <c r="JF1124" s="1"/>
      <c r="JG1124" s="1"/>
      <c r="JH1124" s="1"/>
      <c r="JI1124" s="1"/>
      <c r="JJ1124" s="1"/>
      <c r="JK1124" s="1"/>
      <c r="JL1124" s="1"/>
      <c r="JM1124" s="1"/>
      <c r="JN1124" s="1"/>
      <c r="JO1124" s="1"/>
      <c r="JP1124" s="1"/>
      <c r="JQ1124" s="1"/>
      <c r="JR1124" s="1"/>
      <c r="JS1124" s="1"/>
      <c r="JT1124" s="1"/>
      <c r="JU1124" s="1"/>
      <c r="JV1124" s="1"/>
    </row>
    <row r="1125" spans="1:282">
      <c r="A1125" s="1"/>
      <c r="B1125" s="1"/>
      <c r="C1125" s="1"/>
      <c r="D1125" s="1"/>
      <c r="E1125" s="1"/>
      <c r="F1125" s="36"/>
      <c r="G1125" s="36"/>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c r="BJ1125" s="1"/>
      <c r="BK1125" s="1"/>
      <c r="BL1125" s="1"/>
      <c r="BM1125" s="1"/>
      <c r="BN1125" s="1"/>
      <c r="BO1125" s="1"/>
      <c r="BP1125" s="1"/>
      <c r="BQ1125" s="1"/>
      <c r="BR1125" s="1"/>
      <c r="BS1125" s="1"/>
      <c r="BT1125" s="1"/>
      <c r="BU1125" s="1"/>
      <c r="BV1125" s="1"/>
      <c r="BW1125" s="1"/>
      <c r="BX1125" s="1"/>
      <c r="BY1125" s="1"/>
      <c r="BZ1125" s="1"/>
      <c r="CA1125" s="1"/>
      <c r="CB1125" s="1"/>
      <c r="CC1125" s="1"/>
      <c r="CD1125" s="1"/>
      <c r="CE1125" s="1"/>
      <c r="CF1125" s="1"/>
      <c r="CG1125" s="1"/>
      <c r="CH1125" s="1"/>
      <c r="CI1125" s="1"/>
      <c r="CJ1125" s="1"/>
      <c r="CK1125" s="1"/>
      <c r="CL1125" s="1"/>
      <c r="CM1125" s="1"/>
      <c r="CN1125" s="1"/>
      <c r="CO1125" s="1"/>
      <c r="CP1125" s="1"/>
      <c r="CQ1125" s="1"/>
      <c r="CR1125" s="1"/>
      <c r="CS1125" s="1"/>
      <c r="CT1125" s="1"/>
      <c r="CU1125" s="1"/>
      <c r="CV1125" s="1"/>
      <c r="CW1125" s="1"/>
      <c r="CX1125" s="1"/>
      <c r="CY1125" s="1"/>
      <c r="CZ1125" s="1"/>
      <c r="DA1125" s="1"/>
      <c r="DB1125" s="1"/>
      <c r="DC1125" s="1"/>
      <c r="DD1125" s="1"/>
      <c r="DE1125" s="1"/>
      <c r="DF1125" s="1"/>
      <c r="DG1125" s="1"/>
      <c r="DH1125" s="1"/>
      <c r="DI1125" s="1"/>
      <c r="DJ1125" s="1"/>
      <c r="DK1125" s="1"/>
      <c r="DL1125" s="1"/>
      <c r="DM1125" s="1"/>
      <c r="DN1125" s="1"/>
      <c r="DO1125" s="1"/>
      <c r="DP1125" s="1"/>
      <c r="DQ1125" s="1"/>
      <c r="DR1125" s="1"/>
      <c r="DS1125" s="1"/>
      <c r="DT1125" s="1"/>
      <c r="DU1125" s="1"/>
      <c r="DV1125" s="1"/>
      <c r="DW1125" s="1"/>
      <c r="DX1125" s="1"/>
      <c r="DY1125" s="1"/>
      <c r="DZ1125" s="1"/>
      <c r="EA1125" s="1"/>
      <c r="EB1125" s="1"/>
      <c r="EC1125" s="1"/>
      <c r="ED1125" s="1"/>
      <c r="EE1125" s="1"/>
      <c r="EF1125" s="1"/>
      <c r="EG1125" s="1"/>
      <c r="EH1125" s="1"/>
      <c r="EI1125" s="1"/>
      <c r="EJ1125" s="1"/>
      <c r="EK1125" s="1"/>
      <c r="EL1125" s="1"/>
      <c r="EM1125" s="1"/>
      <c r="EN1125" s="1"/>
      <c r="EO1125" s="1"/>
      <c r="EP1125" s="1"/>
      <c r="EQ1125" s="1"/>
      <c r="ER1125" s="1"/>
      <c r="ES1125" s="1"/>
      <c r="ET1125" s="1"/>
      <c r="EU1125" s="1"/>
      <c r="EV1125" s="1"/>
      <c r="EW1125" s="1"/>
      <c r="EX1125" s="1"/>
      <c r="EY1125" s="1"/>
      <c r="EZ1125" s="1"/>
      <c r="FA1125" s="1"/>
      <c r="FB1125" s="1"/>
      <c r="FC1125" s="1"/>
      <c r="FD1125" s="1"/>
      <c r="FE1125" s="1"/>
      <c r="FF1125" s="1"/>
      <c r="FG1125" s="1"/>
      <c r="FH1125" s="1"/>
      <c r="FI1125" s="1"/>
      <c r="FJ1125" s="1"/>
      <c r="FK1125" s="1"/>
      <c r="FL1125" s="1"/>
      <c r="FM1125" s="1"/>
      <c r="FN1125" s="1"/>
      <c r="FO1125" s="1"/>
      <c r="FP1125" s="1"/>
      <c r="FQ1125" s="1"/>
      <c r="FR1125" s="1"/>
      <c r="FS1125" s="1"/>
      <c r="FT1125" s="1"/>
      <c r="FU1125" s="1"/>
      <c r="FV1125" s="1"/>
      <c r="FW1125" s="1"/>
      <c r="FX1125" s="1"/>
      <c r="FY1125" s="1"/>
      <c r="FZ1125" s="1"/>
      <c r="GA1125" s="1"/>
      <c r="GB1125" s="1"/>
      <c r="GC1125" s="1"/>
      <c r="GD1125" s="1"/>
      <c r="GE1125" s="1"/>
      <c r="GF1125" s="1"/>
      <c r="GG1125" s="1"/>
      <c r="GH1125" s="1"/>
      <c r="GI1125" s="1"/>
      <c r="GJ1125" s="1"/>
      <c r="GK1125" s="1"/>
      <c r="GL1125" s="1"/>
      <c r="GM1125" s="1"/>
      <c r="GN1125" s="1"/>
      <c r="GO1125" s="1"/>
      <c r="GP1125" s="1"/>
      <c r="GQ1125" s="1"/>
      <c r="GR1125" s="1"/>
      <c r="GS1125" s="1"/>
      <c r="GT1125" s="1"/>
      <c r="GU1125" s="1"/>
      <c r="GV1125" s="1"/>
      <c r="GW1125" s="1"/>
      <c r="GX1125" s="1"/>
      <c r="GY1125" s="1"/>
      <c r="GZ1125" s="1"/>
      <c r="HA1125" s="1"/>
      <c r="HB1125" s="1"/>
      <c r="HC1125" s="1"/>
      <c r="HD1125" s="1"/>
      <c r="HE1125" s="1"/>
      <c r="HF1125" s="1"/>
      <c r="HG1125" s="1"/>
      <c r="HH1125" s="1"/>
      <c r="HI1125" s="1"/>
      <c r="HJ1125" s="1"/>
      <c r="HK1125" s="1"/>
      <c r="HL1125" s="1"/>
      <c r="HM1125" s="1"/>
      <c r="HN1125" s="1"/>
      <c r="HO1125" s="1"/>
      <c r="HP1125" s="1"/>
      <c r="HQ1125" s="1"/>
      <c r="HR1125" s="1"/>
      <c r="HS1125" s="1"/>
      <c r="HT1125" s="1"/>
      <c r="HU1125" s="1"/>
      <c r="HV1125" s="1"/>
      <c r="HW1125" s="1"/>
      <c r="HX1125" s="1"/>
      <c r="HY1125" s="1"/>
      <c r="HZ1125" s="1"/>
      <c r="IA1125" s="1"/>
      <c r="IB1125" s="1"/>
      <c r="IC1125" s="1"/>
      <c r="ID1125" s="1"/>
      <c r="IE1125" s="1"/>
      <c r="IF1125" s="1"/>
      <c r="IG1125" s="1"/>
      <c r="IH1125" s="1"/>
      <c r="II1125" s="1"/>
      <c r="IJ1125" s="1"/>
      <c r="IK1125" s="1"/>
      <c r="IL1125" s="1"/>
      <c r="IM1125" s="1"/>
      <c r="IN1125" s="1"/>
      <c r="IO1125" s="1"/>
      <c r="IP1125" s="1"/>
      <c r="IQ1125" s="1"/>
      <c r="IR1125" s="1"/>
      <c r="IS1125" s="1"/>
      <c r="IT1125" s="1"/>
      <c r="IU1125" s="1"/>
      <c r="IV1125" s="1"/>
      <c r="IW1125" s="1"/>
      <c r="IX1125" s="1"/>
      <c r="IY1125" s="1"/>
      <c r="IZ1125" s="1"/>
      <c r="JA1125" s="1"/>
      <c r="JB1125" s="1"/>
      <c r="JC1125" s="1"/>
      <c r="JD1125" s="1"/>
      <c r="JE1125" s="1"/>
      <c r="JF1125" s="1"/>
      <c r="JG1125" s="1"/>
      <c r="JH1125" s="1"/>
      <c r="JI1125" s="1"/>
      <c r="JJ1125" s="1"/>
      <c r="JK1125" s="1"/>
      <c r="JL1125" s="1"/>
      <c r="JM1125" s="1"/>
      <c r="JN1125" s="1"/>
      <c r="JO1125" s="1"/>
      <c r="JP1125" s="1"/>
      <c r="JQ1125" s="1"/>
      <c r="JR1125" s="1"/>
      <c r="JS1125" s="1"/>
      <c r="JT1125" s="1"/>
      <c r="JU1125" s="1"/>
      <c r="JV1125" s="1"/>
    </row>
    <row r="1126" spans="1:282">
      <c r="A1126" s="1"/>
      <c r="B1126" s="1"/>
      <c r="C1126" s="1"/>
      <c r="D1126" s="1"/>
      <c r="E1126" s="1"/>
      <c r="F1126" s="36"/>
      <c r="G1126" s="36"/>
      <c r="H1126" s="1"/>
      <c r="I1126" s="1"/>
      <c r="J1126" s="1"/>
      <c r="K1126" s="1"/>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c r="BH1126" s="1"/>
      <c r="BI1126" s="1"/>
      <c r="BJ1126" s="1"/>
      <c r="BK1126" s="1"/>
      <c r="BL1126" s="1"/>
      <c r="BM1126" s="1"/>
      <c r="BN1126" s="1"/>
      <c r="BO1126" s="1"/>
      <c r="BP1126" s="1"/>
      <c r="BQ1126" s="1"/>
      <c r="BR1126" s="1"/>
      <c r="BS1126" s="1"/>
      <c r="BT1126" s="1"/>
      <c r="BU1126" s="1"/>
      <c r="BV1126" s="1"/>
      <c r="BW1126" s="1"/>
      <c r="BX1126" s="1"/>
      <c r="BY1126" s="1"/>
      <c r="BZ1126" s="1"/>
      <c r="CA1126" s="1"/>
      <c r="CB1126" s="1"/>
      <c r="CC1126" s="1"/>
      <c r="CD1126" s="1"/>
      <c r="CE1126" s="1"/>
      <c r="CF1126" s="1"/>
      <c r="CG1126" s="1"/>
      <c r="CH1126" s="1"/>
      <c r="CI1126" s="1"/>
      <c r="CJ1126" s="1"/>
      <c r="CK1126" s="1"/>
      <c r="CL1126" s="1"/>
      <c r="CM1126" s="1"/>
      <c r="CN1126" s="1"/>
      <c r="CO1126" s="1"/>
      <c r="CP1126" s="1"/>
      <c r="CQ1126" s="1"/>
      <c r="CR1126" s="1"/>
      <c r="CS1126" s="1"/>
      <c r="CT1126" s="1"/>
      <c r="CU1126" s="1"/>
      <c r="CV1126" s="1"/>
      <c r="CW1126" s="1"/>
      <c r="CX1126" s="1"/>
      <c r="CY1126" s="1"/>
      <c r="CZ1126" s="1"/>
      <c r="DA1126" s="1"/>
      <c r="DB1126" s="1"/>
      <c r="DC1126" s="1"/>
      <c r="DD1126" s="1"/>
      <c r="DE1126" s="1"/>
      <c r="DF1126" s="1"/>
      <c r="DG1126" s="1"/>
      <c r="DH1126" s="1"/>
      <c r="DI1126" s="1"/>
      <c r="DJ1126" s="1"/>
      <c r="DK1126" s="1"/>
      <c r="DL1126" s="1"/>
      <c r="DM1126" s="1"/>
      <c r="DN1126" s="1"/>
      <c r="DO1126" s="1"/>
      <c r="DP1126" s="1"/>
      <c r="DQ1126" s="1"/>
      <c r="DR1126" s="1"/>
      <c r="DS1126" s="1"/>
      <c r="DT1126" s="1"/>
      <c r="DU1126" s="1"/>
      <c r="DV1126" s="1"/>
      <c r="DW1126" s="1"/>
      <c r="DX1126" s="1"/>
      <c r="DY1126" s="1"/>
      <c r="DZ1126" s="1"/>
      <c r="EA1126" s="1"/>
      <c r="EB1126" s="1"/>
      <c r="EC1126" s="1"/>
      <c r="ED1126" s="1"/>
      <c r="EE1126" s="1"/>
      <c r="EF1126" s="1"/>
      <c r="EG1126" s="1"/>
      <c r="EH1126" s="1"/>
      <c r="EI1126" s="1"/>
      <c r="EJ1126" s="1"/>
      <c r="EK1126" s="1"/>
      <c r="EL1126" s="1"/>
      <c r="EM1126" s="1"/>
      <c r="EN1126" s="1"/>
      <c r="EO1126" s="1"/>
      <c r="EP1126" s="1"/>
      <c r="EQ1126" s="1"/>
      <c r="ER1126" s="1"/>
      <c r="ES1126" s="1"/>
      <c r="ET1126" s="1"/>
      <c r="EU1126" s="1"/>
      <c r="EV1126" s="1"/>
      <c r="EW1126" s="1"/>
      <c r="EX1126" s="1"/>
      <c r="EY1126" s="1"/>
      <c r="EZ1126" s="1"/>
      <c r="FA1126" s="1"/>
      <c r="FB1126" s="1"/>
      <c r="FC1126" s="1"/>
      <c r="FD1126" s="1"/>
      <c r="FE1126" s="1"/>
      <c r="FF1126" s="1"/>
      <c r="FG1126" s="1"/>
      <c r="FH1126" s="1"/>
      <c r="FI1126" s="1"/>
      <c r="FJ1126" s="1"/>
      <c r="FK1126" s="1"/>
      <c r="FL1126" s="1"/>
      <c r="FM1126" s="1"/>
      <c r="FN1126" s="1"/>
      <c r="FO1126" s="1"/>
      <c r="FP1126" s="1"/>
      <c r="FQ1126" s="1"/>
      <c r="FR1126" s="1"/>
      <c r="FS1126" s="1"/>
      <c r="FT1126" s="1"/>
      <c r="FU1126" s="1"/>
      <c r="FV1126" s="1"/>
      <c r="FW1126" s="1"/>
      <c r="FX1126" s="1"/>
      <c r="FY1126" s="1"/>
      <c r="FZ1126" s="1"/>
      <c r="GA1126" s="1"/>
      <c r="GB1126" s="1"/>
      <c r="GC1126" s="1"/>
      <c r="GD1126" s="1"/>
      <c r="GE1126" s="1"/>
      <c r="GF1126" s="1"/>
      <c r="GG1126" s="1"/>
      <c r="GH1126" s="1"/>
      <c r="GI1126" s="1"/>
      <c r="GJ1126" s="1"/>
      <c r="GK1126" s="1"/>
      <c r="GL1126" s="1"/>
      <c r="GM1126" s="1"/>
      <c r="GN1126" s="1"/>
      <c r="GO1126" s="1"/>
      <c r="GP1126" s="1"/>
      <c r="GQ1126" s="1"/>
      <c r="GR1126" s="1"/>
      <c r="GS1126" s="1"/>
      <c r="GT1126" s="1"/>
      <c r="GU1126" s="1"/>
      <c r="GV1126" s="1"/>
      <c r="GW1126" s="1"/>
      <c r="GX1126" s="1"/>
      <c r="GY1126" s="1"/>
      <c r="GZ1126" s="1"/>
      <c r="HA1126" s="1"/>
      <c r="HB1126" s="1"/>
      <c r="HC1126" s="1"/>
      <c r="HD1126" s="1"/>
      <c r="HE1126" s="1"/>
      <c r="HF1126" s="1"/>
      <c r="HG1126" s="1"/>
      <c r="HH1126" s="1"/>
      <c r="HI1126" s="1"/>
      <c r="HJ1126" s="1"/>
      <c r="HK1126" s="1"/>
      <c r="HL1126" s="1"/>
      <c r="HM1126" s="1"/>
      <c r="HN1126" s="1"/>
      <c r="HO1126" s="1"/>
      <c r="HP1126" s="1"/>
      <c r="HQ1126" s="1"/>
      <c r="HR1126" s="1"/>
      <c r="HS1126" s="1"/>
      <c r="HT1126" s="1"/>
      <c r="HU1126" s="1"/>
      <c r="HV1126" s="1"/>
      <c r="HW1126" s="1"/>
      <c r="HX1126" s="1"/>
      <c r="HY1126" s="1"/>
      <c r="HZ1126" s="1"/>
      <c r="IA1126" s="1"/>
      <c r="IB1126" s="1"/>
      <c r="IC1126" s="1"/>
      <c r="ID1126" s="1"/>
      <c r="IE1126" s="1"/>
      <c r="IF1126" s="1"/>
      <c r="IG1126" s="1"/>
      <c r="IH1126" s="1"/>
      <c r="II1126" s="1"/>
      <c r="IJ1126" s="1"/>
      <c r="IK1126" s="1"/>
      <c r="IL1126" s="1"/>
      <c r="IM1126" s="1"/>
      <c r="IN1126" s="1"/>
      <c r="IO1126" s="1"/>
      <c r="IP1126" s="1"/>
      <c r="IQ1126" s="1"/>
      <c r="IR1126" s="1"/>
      <c r="IS1126" s="1"/>
      <c r="IT1126" s="1"/>
      <c r="IU1126" s="1"/>
      <c r="IV1126" s="1"/>
      <c r="IW1126" s="1"/>
      <c r="IX1126" s="1"/>
      <c r="IY1126" s="1"/>
      <c r="IZ1126" s="1"/>
      <c r="JA1126" s="1"/>
      <c r="JB1126" s="1"/>
      <c r="JC1126" s="1"/>
      <c r="JD1126" s="1"/>
      <c r="JE1126" s="1"/>
      <c r="JF1126" s="1"/>
      <c r="JG1126" s="1"/>
      <c r="JH1126" s="1"/>
      <c r="JI1126" s="1"/>
      <c r="JJ1126" s="1"/>
      <c r="JK1126" s="1"/>
      <c r="JL1126" s="1"/>
      <c r="JM1126" s="1"/>
      <c r="JN1126" s="1"/>
      <c r="JO1126" s="1"/>
      <c r="JP1126" s="1"/>
      <c r="JQ1126" s="1"/>
      <c r="JR1126" s="1"/>
      <c r="JS1126" s="1"/>
      <c r="JT1126" s="1"/>
      <c r="JU1126" s="1"/>
      <c r="JV1126" s="1"/>
    </row>
    <row r="1127" spans="1:282">
      <c r="A1127" s="1"/>
      <c r="B1127" s="1"/>
      <c r="C1127" s="1"/>
      <c r="D1127" s="1"/>
      <c r="E1127" s="1"/>
      <c r="F1127" s="36"/>
      <c r="G1127" s="36"/>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c r="BJ1127" s="1"/>
      <c r="BK1127" s="1"/>
      <c r="BL1127" s="1"/>
      <c r="BM1127" s="1"/>
      <c r="BN1127" s="1"/>
      <c r="BO1127" s="1"/>
      <c r="BP1127" s="1"/>
      <c r="BQ1127" s="1"/>
      <c r="BR1127" s="1"/>
      <c r="BS1127" s="1"/>
      <c r="BT1127" s="1"/>
      <c r="BU1127" s="1"/>
      <c r="BV1127" s="1"/>
      <c r="BW1127" s="1"/>
      <c r="BX1127" s="1"/>
      <c r="BY1127" s="1"/>
      <c r="BZ1127" s="1"/>
      <c r="CA1127" s="1"/>
      <c r="CB1127" s="1"/>
      <c r="CC1127" s="1"/>
      <c r="CD1127" s="1"/>
      <c r="CE1127" s="1"/>
      <c r="CF1127" s="1"/>
      <c r="CG1127" s="1"/>
      <c r="CH1127" s="1"/>
      <c r="CI1127" s="1"/>
      <c r="CJ1127" s="1"/>
      <c r="CK1127" s="1"/>
      <c r="CL1127" s="1"/>
      <c r="CM1127" s="1"/>
      <c r="CN1127" s="1"/>
      <c r="CO1127" s="1"/>
      <c r="CP1127" s="1"/>
      <c r="CQ1127" s="1"/>
      <c r="CR1127" s="1"/>
      <c r="CS1127" s="1"/>
      <c r="CT1127" s="1"/>
      <c r="CU1127" s="1"/>
      <c r="CV1127" s="1"/>
      <c r="CW1127" s="1"/>
      <c r="CX1127" s="1"/>
      <c r="CY1127" s="1"/>
      <c r="CZ1127" s="1"/>
      <c r="DA1127" s="1"/>
      <c r="DB1127" s="1"/>
      <c r="DC1127" s="1"/>
      <c r="DD1127" s="1"/>
      <c r="DE1127" s="1"/>
      <c r="DF1127" s="1"/>
      <c r="DG1127" s="1"/>
      <c r="DH1127" s="1"/>
      <c r="DI1127" s="1"/>
      <c r="DJ1127" s="1"/>
      <c r="DK1127" s="1"/>
      <c r="DL1127" s="1"/>
      <c r="DM1127" s="1"/>
      <c r="DN1127" s="1"/>
      <c r="DO1127" s="1"/>
      <c r="DP1127" s="1"/>
      <c r="DQ1127" s="1"/>
      <c r="DR1127" s="1"/>
      <c r="DS1127" s="1"/>
      <c r="DT1127" s="1"/>
      <c r="DU1127" s="1"/>
      <c r="DV1127" s="1"/>
      <c r="DW1127" s="1"/>
      <c r="DX1127" s="1"/>
      <c r="DY1127" s="1"/>
      <c r="DZ1127" s="1"/>
      <c r="EA1127" s="1"/>
      <c r="EB1127" s="1"/>
      <c r="EC1127" s="1"/>
      <c r="ED1127" s="1"/>
      <c r="EE1127" s="1"/>
      <c r="EF1127" s="1"/>
      <c r="EG1127" s="1"/>
      <c r="EH1127" s="1"/>
      <c r="EI1127" s="1"/>
      <c r="EJ1127" s="1"/>
      <c r="EK1127" s="1"/>
      <c r="EL1127" s="1"/>
      <c r="EM1127" s="1"/>
      <c r="EN1127" s="1"/>
      <c r="EO1127" s="1"/>
      <c r="EP1127" s="1"/>
      <c r="EQ1127" s="1"/>
      <c r="ER1127" s="1"/>
      <c r="ES1127" s="1"/>
      <c r="ET1127" s="1"/>
      <c r="EU1127" s="1"/>
      <c r="EV1127" s="1"/>
      <c r="EW1127" s="1"/>
      <c r="EX1127" s="1"/>
      <c r="EY1127" s="1"/>
      <c r="EZ1127" s="1"/>
      <c r="FA1127" s="1"/>
      <c r="FB1127" s="1"/>
      <c r="FC1127" s="1"/>
      <c r="FD1127" s="1"/>
      <c r="FE1127" s="1"/>
      <c r="FF1127" s="1"/>
      <c r="FG1127" s="1"/>
      <c r="FH1127" s="1"/>
      <c r="FI1127" s="1"/>
      <c r="FJ1127" s="1"/>
      <c r="FK1127" s="1"/>
      <c r="FL1127" s="1"/>
      <c r="FM1127" s="1"/>
      <c r="FN1127" s="1"/>
      <c r="FO1127" s="1"/>
      <c r="FP1127" s="1"/>
      <c r="FQ1127" s="1"/>
      <c r="FR1127" s="1"/>
      <c r="FS1127" s="1"/>
      <c r="FT1127" s="1"/>
      <c r="FU1127" s="1"/>
      <c r="FV1127" s="1"/>
      <c r="FW1127" s="1"/>
      <c r="FX1127" s="1"/>
      <c r="FY1127" s="1"/>
      <c r="FZ1127" s="1"/>
      <c r="GA1127" s="1"/>
      <c r="GB1127" s="1"/>
      <c r="GC1127" s="1"/>
      <c r="GD1127" s="1"/>
      <c r="GE1127" s="1"/>
      <c r="GF1127" s="1"/>
      <c r="GG1127" s="1"/>
      <c r="GH1127" s="1"/>
      <c r="GI1127" s="1"/>
      <c r="GJ1127" s="1"/>
      <c r="GK1127" s="1"/>
      <c r="GL1127" s="1"/>
      <c r="GM1127" s="1"/>
      <c r="GN1127" s="1"/>
      <c r="GO1127" s="1"/>
      <c r="GP1127" s="1"/>
      <c r="GQ1127" s="1"/>
      <c r="GR1127" s="1"/>
      <c r="GS1127" s="1"/>
      <c r="GT1127" s="1"/>
      <c r="GU1127" s="1"/>
      <c r="GV1127" s="1"/>
      <c r="GW1127" s="1"/>
      <c r="GX1127" s="1"/>
      <c r="GY1127" s="1"/>
      <c r="GZ1127" s="1"/>
      <c r="HA1127" s="1"/>
      <c r="HB1127" s="1"/>
      <c r="HC1127" s="1"/>
      <c r="HD1127" s="1"/>
      <c r="HE1127" s="1"/>
      <c r="HF1127" s="1"/>
      <c r="HG1127" s="1"/>
      <c r="HH1127" s="1"/>
      <c r="HI1127" s="1"/>
      <c r="HJ1127" s="1"/>
      <c r="HK1127" s="1"/>
      <c r="HL1127" s="1"/>
      <c r="HM1127" s="1"/>
      <c r="HN1127" s="1"/>
      <c r="HO1127" s="1"/>
      <c r="HP1127" s="1"/>
      <c r="HQ1127" s="1"/>
      <c r="HR1127" s="1"/>
      <c r="HS1127" s="1"/>
      <c r="HT1127" s="1"/>
      <c r="HU1127" s="1"/>
      <c r="HV1127" s="1"/>
      <c r="HW1127" s="1"/>
      <c r="HX1127" s="1"/>
      <c r="HY1127" s="1"/>
      <c r="HZ1127" s="1"/>
      <c r="IA1127" s="1"/>
      <c r="IB1127" s="1"/>
      <c r="IC1127" s="1"/>
      <c r="ID1127" s="1"/>
      <c r="IE1127" s="1"/>
      <c r="IF1127" s="1"/>
      <c r="IG1127" s="1"/>
      <c r="IH1127" s="1"/>
      <c r="II1127" s="1"/>
      <c r="IJ1127" s="1"/>
      <c r="IK1127" s="1"/>
      <c r="IL1127" s="1"/>
      <c r="IM1127" s="1"/>
      <c r="IN1127" s="1"/>
      <c r="IO1127" s="1"/>
      <c r="IP1127" s="1"/>
      <c r="IQ1127" s="1"/>
      <c r="IR1127" s="1"/>
      <c r="IS1127" s="1"/>
      <c r="IT1127" s="1"/>
      <c r="IU1127" s="1"/>
      <c r="IV1127" s="1"/>
      <c r="IW1127" s="1"/>
      <c r="IX1127" s="1"/>
      <c r="IY1127" s="1"/>
      <c r="IZ1127" s="1"/>
      <c r="JA1127" s="1"/>
      <c r="JB1127" s="1"/>
      <c r="JC1127" s="1"/>
      <c r="JD1127" s="1"/>
      <c r="JE1127" s="1"/>
      <c r="JF1127" s="1"/>
      <c r="JG1127" s="1"/>
      <c r="JH1127" s="1"/>
      <c r="JI1127" s="1"/>
      <c r="JJ1127" s="1"/>
      <c r="JK1127" s="1"/>
      <c r="JL1127" s="1"/>
      <c r="JM1127" s="1"/>
      <c r="JN1127" s="1"/>
      <c r="JO1127" s="1"/>
      <c r="JP1127" s="1"/>
      <c r="JQ1127" s="1"/>
      <c r="JR1127" s="1"/>
      <c r="JS1127" s="1"/>
      <c r="JT1127" s="1"/>
      <c r="JU1127" s="1"/>
      <c r="JV1127" s="1"/>
    </row>
    <row r="1128" spans="1:282">
      <c r="A1128" s="1"/>
      <c r="B1128" s="1"/>
      <c r="C1128" s="1"/>
      <c r="D1128" s="1"/>
      <c r="E1128" s="1"/>
      <c r="F1128" s="36"/>
      <c r="G1128" s="36"/>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
      <c r="AE1128" s="1"/>
      <c r="AF1128" s="1"/>
      <c r="AG1128" s="1"/>
      <c r="AH1128" s="1"/>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c r="BH1128" s="1"/>
      <c r="BI1128" s="1"/>
      <c r="BJ1128" s="1"/>
      <c r="BK1128" s="1"/>
      <c r="BL1128" s="1"/>
      <c r="BM1128" s="1"/>
      <c r="BN1128" s="1"/>
      <c r="BO1128" s="1"/>
      <c r="BP1128" s="1"/>
      <c r="BQ1128" s="1"/>
      <c r="BR1128" s="1"/>
      <c r="BS1128" s="1"/>
      <c r="BT1128" s="1"/>
      <c r="BU1128" s="1"/>
      <c r="BV1128" s="1"/>
      <c r="BW1128" s="1"/>
      <c r="BX1128" s="1"/>
      <c r="BY1128" s="1"/>
      <c r="BZ1128" s="1"/>
      <c r="CA1128" s="1"/>
      <c r="CB1128" s="1"/>
      <c r="CC1128" s="1"/>
      <c r="CD1128" s="1"/>
      <c r="CE1128" s="1"/>
      <c r="CF1128" s="1"/>
      <c r="CG1128" s="1"/>
      <c r="CH1128" s="1"/>
      <c r="CI1128" s="1"/>
      <c r="CJ1128" s="1"/>
      <c r="CK1128" s="1"/>
      <c r="CL1128" s="1"/>
      <c r="CM1128" s="1"/>
      <c r="CN1128" s="1"/>
      <c r="CO1128" s="1"/>
      <c r="CP1128" s="1"/>
      <c r="CQ1128" s="1"/>
      <c r="CR1128" s="1"/>
      <c r="CS1128" s="1"/>
      <c r="CT1128" s="1"/>
      <c r="CU1128" s="1"/>
      <c r="CV1128" s="1"/>
      <c r="CW1128" s="1"/>
      <c r="CX1128" s="1"/>
      <c r="CY1128" s="1"/>
      <c r="CZ1128" s="1"/>
      <c r="DA1128" s="1"/>
      <c r="DB1128" s="1"/>
      <c r="DC1128" s="1"/>
      <c r="DD1128" s="1"/>
      <c r="DE1128" s="1"/>
      <c r="DF1128" s="1"/>
      <c r="DG1128" s="1"/>
      <c r="DH1128" s="1"/>
      <c r="DI1128" s="1"/>
      <c r="DJ1128" s="1"/>
      <c r="DK1128" s="1"/>
      <c r="DL1128" s="1"/>
      <c r="DM1128" s="1"/>
      <c r="DN1128" s="1"/>
      <c r="DO1128" s="1"/>
      <c r="DP1128" s="1"/>
      <c r="DQ1128" s="1"/>
      <c r="DR1128" s="1"/>
      <c r="DS1128" s="1"/>
      <c r="DT1128" s="1"/>
      <c r="DU1128" s="1"/>
      <c r="DV1128" s="1"/>
      <c r="DW1128" s="1"/>
      <c r="DX1128" s="1"/>
      <c r="DY1128" s="1"/>
      <c r="DZ1128" s="1"/>
      <c r="EA1128" s="1"/>
      <c r="EB1128" s="1"/>
      <c r="EC1128" s="1"/>
      <c r="ED1128" s="1"/>
      <c r="EE1128" s="1"/>
      <c r="EF1128" s="1"/>
      <c r="EG1128" s="1"/>
      <c r="EH1128" s="1"/>
      <c r="EI1128" s="1"/>
      <c r="EJ1128" s="1"/>
      <c r="EK1128" s="1"/>
      <c r="EL1128" s="1"/>
      <c r="EM1128" s="1"/>
      <c r="EN1128" s="1"/>
      <c r="EO1128" s="1"/>
      <c r="EP1128" s="1"/>
      <c r="EQ1128" s="1"/>
      <c r="ER1128" s="1"/>
      <c r="ES1128" s="1"/>
      <c r="ET1128" s="1"/>
      <c r="EU1128" s="1"/>
      <c r="EV1128" s="1"/>
      <c r="EW1128" s="1"/>
      <c r="EX1128" s="1"/>
      <c r="EY1128" s="1"/>
      <c r="EZ1128" s="1"/>
      <c r="FA1128" s="1"/>
      <c r="FB1128" s="1"/>
      <c r="FC1128" s="1"/>
      <c r="FD1128" s="1"/>
      <c r="FE1128" s="1"/>
      <c r="FF1128" s="1"/>
      <c r="FG1128" s="1"/>
      <c r="FH1128" s="1"/>
      <c r="FI1128" s="1"/>
      <c r="FJ1128" s="1"/>
      <c r="FK1128" s="1"/>
      <c r="FL1128" s="1"/>
      <c r="FM1128" s="1"/>
      <c r="FN1128" s="1"/>
      <c r="FO1128" s="1"/>
      <c r="FP1128" s="1"/>
      <c r="FQ1128" s="1"/>
      <c r="FR1128" s="1"/>
      <c r="FS1128" s="1"/>
      <c r="FT1128" s="1"/>
      <c r="FU1128" s="1"/>
      <c r="FV1128" s="1"/>
      <c r="FW1128" s="1"/>
      <c r="FX1128" s="1"/>
      <c r="FY1128" s="1"/>
      <c r="FZ1128" s="1"/>
      <c r="GA1128" s="1"/>
      <c r="GB1128" s="1"/>
      <c r="GC1128" s="1"/>
      <c r="GD1128" s="1"/>
      <c r="GE1128" s="1"/>
      <c r="GF1128" s="1"/>
      <c r="GG1128" s="1"/>
      <c r="GH1128" s="1"/>
      <c r="GI1128" s="1"/>
      <c r="GJ1128" s="1"/>
      <c r="GK1128" s="1"/>
      <c r="GL1128" s="1"/>
      <c r="GM1128" s="1"/>
      <c r="GN1128" s="1"/>
      <c r="GO1128" s="1"/>
      <c r="GP1128" s="1"/>
      <c r="GQ1128" s="1"/>
      <c r="GR1128" s="1"/>
      <c r="GS1128" s="1"/>
      <c r="GT1128" s="1"/>
      <c r="GU1128" s="1"/>
      <c r="GV1128" s="1"/>
      <c r="GW1128" s="1"/>
      <c r="GX1128" s="1"/>
      <c r="GY1128" s="1"/>
      <c r="GZ1128" s="1"/>
      <c r="HA1128" s="1"/>
      <c r="HB1128" s="1"/>
      <c r="HC1128" s="1"/>
      <c r="HD1128" s="1"/>
      <c r="HE1128" s="1"/>
      <c r="HF1128" s="1"/>
      <c r="HG1128" s="1"/>
      <c r="HH1128" s="1"/>
      <c r="HI1128" s="1"/>
      <c r="HJ1128" s="1"/>
      <c r="HK1128" s="1"/>
      <c r="HL1128" s="1"/>
      <c r="HM1128" s="1"/>
      <c r="HN1128" s="1"/>
      <c r="HO1128" s="1"/>
      <c r="HP1128" s="1"/>
      <c r="HQ1128" s="1"/>
      <c r="HR1128" s="1"/>
      <c r="HS1128" s="1"/>
      <c r="HT1128" s="1"/>
      <c r="HU1128" s="1"/>
      <c r="HV1128" s="1"/>
      <c r="HW1128" s="1"/>
      <c r="HX1128" s="1"/>
      <c r="HY1128" s="1"/>
      <c r="HZ1128" s="1"/>
      <c r="IA1128" s="1"/>
      <c r="IB1128" s="1"/>
      <c r="IC1128" s="1"/>
      <c r="ID1128" s="1"/>
      <c r="IE1128" s="1"/>
      <c r="IF1128" s="1"/>
      <c r="IG1128" s="1"/>
      <c r="IH1128" s="1"/>
      <c r="II1128" s="1"/>
      <c r="IJ1128" s="1"/>
      <c r="IK1128" s="1"/>
      <c r="IL1128" s="1"/>
      <c r="IM1128" s="1"/>
      <c r="IN1128" s="1"/>
      <c r="IO1128" s="1"/>
      <c r="IP1128" s="1"/>
      <c r="IQ1128" s="1"/>
      <c r="IR1128" s="1"/>
      <c r="IS1128" s="1"/>
      <c r="IT1128" s="1"/>
      <c r="IU1128" s="1"/>
      <c r="IV1128" s="1"/>
      <c r="IW1128" s="1"/>
      <c r="IX1128" s="1"/>
      <c r="IY1128" s="1"/>
      <c r="IZ1128" s="1"/>
      <c r="JA1128" s="1"/>
      <c r="JB1128" s="1"/>
      <c r="JC1128" s="1"/>
      <c r="JD1128" s="1"/>
      <c r="JE1128" s="1"/>
      <c r="JF1128" s="1"/>
      <c r="JG1128" s="1"/>
      <c r="JH1128" s="1"/>
      <c r="JI1128" s="1"/>
      <c r="JJ1128" s="1"/>
      <c r="JK1128" s="1"/>
      <c r="JL1128" s="1"/>
      <c r="JM1128" s="1"/>
      <c r="JN1128" s="1"/>
      <c r="JO1128" s="1"/>
      <c r="JP1128" s="1"/>
      <c r="JQ1128" s="1"/>
      <c r="JR1128" s="1"/>
      <c r="JS1128" s="1"/>
      <c r="JT1128" s="1"/>
      <c r="JU1128" s="1"/>
      <c r="JV1128" s="1"/>
    </row>
    <row r="1129" spans="1:282">
      <c r="A1129" s="1"/>
      <c r="B1129" s="1"/>
      <c r="C1129" s="1"/>
      <c r="D1129" s="1"/>
      <c r="E1129" s="1"/>
      <c r="F1129" s="36"/>
      <c r="G1129" s="36"/>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
      <c r="AE1129" s="1"/>
      <c r="AF1129" s="1"/>
      <c r="AG1129" s="1"/>
      <c r="AH1129" s="1"/>
      <c r="AI1129" s="1"/>
      <c r="AJ1129" s="1"/>
      <c r="AK1129" s="1"/>
      <c r="AL1129" s="1"/>
      <c r="AM1129" s="1"/>
      <c r="AN1129" s="1"/>
      <c r="AO1129" s="1"/>
      <c r="AP1129" s="1"/>
      <c r="AQ1129" s="1"/>
      <c r="AR1129" s="1"/>
      <c r="AS1129" s="1"/>
      <c r="AT1129" s="1"/>
      <c r="AU1129" s="1"/>
      <c r="AV1129" s="1"/>
      <c r="AW1129" s="1"/>
      <c r="AX1129" s="1"/>
      <c r="AY1129" s="1"/>
      <c r="AZ1129" s="1"/>
      <c r="BA1129" s="1"/>
      <c r="BB1129" s="1"/>
      <c r="BC1129" s="1"/>
      <c r="BD1129" s="1"/>
      <c r="BE1129" s="1"/>
      <c r="BF1129" s="1"/>
      <c r="BG1129" s="1"/>
      <c r="BH1129" s="1"/>
      <c r="BI1129" s="1"/>
      <c r="BJ1129" s="1"/>
      <c r="BK1129" s="1"/>
      <c r="BL1129" s="1"/>
      <c r="BM1129" s="1"/>
      <c r="BN1129" s="1"/>
      <c r="BO1129" s="1"/>
      <c r="BP1129" s="1"/>
      <c r="BQ1129" s="1"/>
      <c r="BR1129" s="1"/>
      <c r="BS1129" s="1"/>
      <c r="BT1129" s="1"/>
      <c r="BU1129" s="1"/>
      <c r="BV1129" s="1"/>
      <c r="BW1129" s="1"/>
      <c r="BX1129" s="1"/>
      <c r="BY1129" s="1"/>
      <c r="BZ1129" s="1"/>
      <c r="CA1129" s="1"/>
      <c r="CB1129" s="1"/>
      <c r="CC1129" s="1"/>
      <c r="CD1129" s="1"/>
      <c r="CE1129" s="1"/>
      <c r="CF1129" s="1"/>
      <c r="CG1129" s="1"/>
      <c r="CH1129" s="1"/>
      <c r="CI1129" s="1"/>
      <c r="CJ1129" s="1"/>
      <c r="CK1129" s="1"/>
      <c r="CL1129" s="1"/>
      <c r="CM1129" s="1"/>
      <c r="CN1129" s="1"/>
      <c r="CO1129" s="1"/>
      <c r="CP1129" s="1"/>
      <c r="CQ1129" s="1"/>
      <c r="CR1129" s="1"/>
      <c r="CS1129" s="1"/>
      <c r="CT1129" s="1"/>
      <c r="CU1129" s="1"/>
      <c r="CV1129" s="1"/>
      <c r="CW1129" s="1"/>
      <c r="CX1129" s="1"/>
      <c r="CY1129" s="1"/>
      <c r="CZ1129" s="1"/>
      <c r="DA1129" s="1"/>
      <c r="DB1129" s="1"/>
      <c r="DC1129" s="1"/>
      <c r="DD1129" s="1"/>
      <c r="DE1129" s="1"/>
      <c r="DF1129" s="1"/>
      <c r="DG1129" s="1"/>
      <c r="DH1129" s="1"/>
      <c r="DI1129" s="1"/>
      <c r="DJ1129" s="1"/>
      <c r="DK1129" s="1"/>
      <c r="DL1129" s="1"/>
      <c r="DM1129" s="1"/>
      <c r="DN1129" s="1"/>
      <c r="DO1129" s="1"/>
      <c r="DP1129" s="1"/>
      <c r="DQ1129" s="1"/>
      <c r="DR1129" s="1"/>
      <c r="DS1129" s="1"/>
      <c r="DT1129" s="1"/>
      <c r="DU1129" s="1"/>
      <c r="DV1129" s="1"/>
      <c r="DW1129" s="1"/>
      <c r="DX1129" s="1"/>
      <c r="DY1129" s="1"/>
      <c r="DZ1129" s="1"/>
      <c r="EA1129" s="1"/>
      <c r="EB1129" s="1"/>
      <c r="EC1129" s="1"/>
      <c r="ED1129" s="1"/>
      <c r="EE1129" s="1"/>
      <c r="EF1129" s="1"/>
      <c r="EG1129" s="1"/>
      <c r="EH1129" s="1"/>
      <c r="EI1129" s="1"/>
      <c r="EJ1129" s="1"/>
      <c r="EK1129" s="1"/>
      <c r="EL1129" s="1"/>
      <c r="EM1129" s="1"/>
      <c r="EN1129" s="1"/>
      <c r="EO1129" s="1"/>
      <c r="EP1129" s="1"/>
      <c r="EQ1129" s="1"/>
      <c r="ER1129" s="1"/>
      <c r="ES1129" s="1"/>
      <c r="ET1129" s="1"/>
      <c r="EU1129" s="1"/>
      <c r="EV1129" s="1"/>
      <c r="EW1129" s="1"/>
      <c r="EX1129" s="1"/>
      <c r="EY1129" s="1"/>
      <c r="EZ1129" s="1"/>
      <c r="FA1129" s="1"/>
      <c r="FB1129" s="1"/>
      <c r="FC1129" s="1"/>
      <c r="FD1129" s="1"/>
      <c r="FE1129" s="1"/>
      <c r="FF1129" s="1"/>
      <c r="FG1129" s="1"/>
      <c r="FH1129" s="1"/>
      <c r="FI1129" s="1"/>
      <c r="FJ1129" s="1"/>
      <c r="FK1129" s="1"/>
      <c r="FL1129" s="1"/>
      <c r="FM1129" s="1"/>
      <c r="FN1129" s="1"/>
      <c r="FO1129" s="1"/>
      <c r="FP1129" s="1"/>
      <c r="FQ1129" s="1"/>
      <c r="FR1129" s="1"/>
      <c r="FS1129" s="1"/>
      <c r="FT1129" s="1"/>
      <c r="FU1129" s="1"/>
      <c r="FV1129" s="1"/>
      <c r="FW1129" s="1"/>
      <c r="FX1129" s="1"/>
      <c r="FY1129" s="1"/>
      <c r="FZ1129" s="1"/>
      <c r="GA1129" s="1"/>
      <c r="GB1129" s="1"/>
      <c r="GC1129" s="1"/>
      <c r="GD1129" s="1"/>
      <c r="GE1129" s="1"/>
      <c r="GF1129" s="1"/>
      <c r="GG1129" s="1"/>
      <c r="GH1129" s="1"/>
      <c r="GI1129" s="1"/>
      <c r="GJ1129" s="1"/>
      <c r="GK1129" s="1"/>
      <c r="GL1129" s="1"/>
      <c r="GM1129" s="1"/>
      <c r="GN1129" s="1"/>
      <c r="GO1129" s="1"/>
      <c r="GP1129" s="1"/>
      <c r="GQ1129" s="1"/>
      <c r="GR1129" s="1"/>
      <c r="GS1129" s="1"/>
      <c r="GT1129" s="1"/>
      <c r="GU1129" s="1"/>
      <c r="GV1129" s="1"/>
      <c r="GW1129" s="1"/>
      <c r="GX1129" s="1"/>
      <c r="GY1129" s="1"/>
      <c r="GZ1129" s="1"/>
      <c r="HA1129" s="1"/>
      <c r="HB1129" s="1"/>
      <c r="HC1129" s="1"/>
      <c r="HD1129" s="1"/>
      <c r="HE1129" s="1"/>
      <c r="HF1129" s="1"/>
      <c r="HG1129" s="1"/>
      <c r="HH1129" s="1"/>
      <c r="HI1129" s="1"/>
      <c r="HJ1129" s="1"/>
      <c r="HK1129" s="1"/>
      <c r="HL1129" s="1"/>
      <c r="HM1129" s="1"/>
      <c r="HN1129" s="1"/>
      <c r="HO1129" s="1"/>
      <c r="HP1129" s="1"/>
      <c r="HQ1129" s="1"/>
      <c r="HR1129" s="1"/>
      <c r="HS1129" s="1"/>
      <c r="HT1129" s="1"/>
      <c r="HU1129" s="1"/>
      <c r="HV1129" s="1"/>
      <c r="HW1129" s="1"/>
      <c r="HX1129" s="1"/>
      <c r="HY1129" s="1"/>
      <c r="HZ1129" s="1"/>
      <c r="IA1129" s="1"/>
      <c r="IB1129" s="1"/>
      <c r="IC1129" s="1"/>
      <c r="ID1129" s="1"/>
      <c r="IE1129" s="1"/>
      <c r="IF1129" s="1"/>
      <c r="IG1129" s="1"/>
      <c r="IH1129" s="1"/>
      <c r="II1129" s="1"/>
      <c r="IJ1129" s="1"/>
      <c r="IK1129" s="1"/>
      <c r="IL1129" s="1"/>
      <c r="IM1129" s="1"/>
      <c r="IN1129" s="1"/>
      <c r="IO1129" s="1"/>
      <c r="IP1129" s="1"/>
      <c r="IQ1129" s="1"/>
      <c r="IR1129" s="1"/>
      <c r="IS1129" s="1"/>
      <c r="IT1129" s="1"/>
      <c r="IU1129" s="1"/>
      <c r="IV1129" s="1"/>
      <c r="IW1129" s="1"/>
      <c r="IX1129" s="1"/>
      <c r="IY1129" s="1"/>
      <c r="IZ1129" s="1"/>
      <c r="JA1129" s="1"/>
      <c r="JB1129" s="1"/>
      <c r="JC1129" s="1"/>
      <c r="JD1129" s="1"/>
      <c r="JE1129" s="1"/>
      <c r="JF1129" s="1"/>
      <c r="JG1129" s="1"/>
      <c r="JH1129" s="1"/>
      <c r="JI1129" s="1"/>
      <c r="JJ1129" s="1"/>
      <c r="JK1129" s="1"/>
      <c r="JL1129" s="1"/>
      <c r="JM1129" s="1"/>
      <c r="JN1129" s="1"/>
      <c r="JO1129" s="1"/>
      <c r="JP1129" s="1"/>
      <c r="JQ1129" s="1"/>
      <c r="JR1129" s="1"/>
      <c r="JS1129" s="1"/>
      <c r="JT1129" s="1"/>
      <c r="JU1129" s="1"/>
      <c r="JV1129" s="1"/>
    </row>
    <row r="1130" spans="1:282">
      <c r="A1130" s="1"/>
      <c r="B1130" s="1"/>
      <c r="C1130" s="1"/>
      <c r="D1130" s="1"/>
      <c r="E1130" s="1"/>
      <c r="F1130" s="36"/>
      <c r="G1130" s="36"/>
      <c r="H1130" s="1"/>
      <c r="I1130" s="1"/>
      <c r="J1130" s="1"/>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1"/>
      <c r="AK1130" s="1"/>
      <c r="AL1130" s="1"/>
      <c r="AM1130" s="1"/>
      <c r="AN1130" s="1"/>
      <c r="AO1130" s="1"/>
      <c r="AP1130" s="1"/>
      <c r="AQ1130" s="1"/>
      <c r="AR1130" s="1"/>
      <c r="AS1130" s="1"/>
      <c r="AT1130" s="1"/>
      <c r="AU1130" s="1"/>
      <c r="AV1130" s="1"/>
      <c r="AW1130" s="1"/>
      <c r="AX1130" s="1"/>
      <c r="AY1130" s="1"/>
      <c r="AZ1130" s="1"/>
      <c r="BA1130" s="1"/>
      <c r="BB1130" s="1"/>
      <c r="BC1130" s="1"/>
      <c r="BD1130" s="1"/>
      <c r="BE1130" s="1"/>
      <c r="BF1130" s="1"/>
      <c r="BG1130" s="1"/>
      <c r="BH1130" s="1"/>
      <c r="BI1130" s="1"/>
      <c r="BJ1130" s="1"/>
      <c r="BK1130" s="1"/>
      <c r="BL1130" s="1"/>
      <c r="BM1130" s="1"/>
      <c r="BN1130" s="1"/>
      <c r="BO1130" s="1"/>
      <c r="BP1130" s="1"/>
      <c r="BQ1130" s="1"/>
      <c r="BR1130" s="1"/>
      <c r="BS1130" s="1"/>
      <c r="BT1130" s="1"/>
      <c r="BU1130" s="1"/>
      <c r="BV1130" s="1"/>
      <c r="BW1130" s="1"/>
      <c r="BX1130" s="1"/>
      <c r="BY1130" s="1"/>
      <c r="BZ1130" s="1"/>
      <c r="CA1130" s="1"/>
      <c r="CB1130" s="1"/>
      <c r="CC1130" s="1"/>
      <c r="CD1130" s="1"/>
      <c r="CE1130" s="1"/>
      <c r="CF1130" s="1"/>
      <c r="CG1130" s="1"/>
      <c r="CH1130" s="1"/>
      <c r="CI1130" s="1"/>
      <c r="CJ1130" s="1"/>
      <c r="CK1130" s="1"/>
      <c r="CL1130" s="1"/>
      <c r="CM1130" s="1"/>
      <c r="CN1130" s="1"/>
      <c r="CO1130" s="1"/>
      <c r="CP1130" s="1"/>
      <c r="CQ1130" s="1"/>
      <c r="CR1130" s="1"/>
      <c r="CS1130" s="1"/>
      <c r="CT1130" s="1"/>
      <c r="CU1130" s="1"/>
      <c r="CV1130" s="1"/>
      <c r="CW1130" s="1"/>
      <c r="CX1130" s="1"/>
      <c r="CY1130" s="1"/>
      <c r="CZ1130" s="1"/>
      <c r="DA1130" s="1"/>
      <c r="DB1130" s="1"/>
      <c r="DC1130" s="1"/>
      <c r="DD1130" s="1"/>
      <c r="DE1130" s="1"/>
      <c r="DF1130" s="1"/>
      <c r="DG1130" s="1"/>
      <c r="DH1130" s="1"/>
      <c r="DI1130" s="1"/>
      <c r="DJ1130" s="1"/>
      <c r="DK1130" s="1"/>
      <c r="DL1130" s="1"/>
      <c r="DM1130" s="1"/>
      <c r="DN1130" s="1"/>
      <c r="DO1130" s="1"/>
      <c r="DP1130" s="1"/>
      <c r="DQ1130" s="1"/>
      <c r="DR1130" s="1"/>
      <c r="DS1130" s="1"/>
      <c r="DT1130" s="1"/>
      <c r="DU1130" s="1"/>
      <c r="DV1130" s="1"/>
      <c r="DW1130" s="1"/>
      <c r="DX1130" s="1"/>
      <c r="DY1130" s="1"/>
      <c r="DZ1130" s="1"/>
      <c r="EA1130" s="1"/>
      <c r="EB1130" s="1"/>
      <c r="EC1130" s="1"/>
      <c r="ED1130" s="1"/>
      <c r="EE1130" s="1"/>
      <c r="EF1130" s="1"/>
      <c r="EG1130" s="1"/>
      <c r="EH1130" s="1"/>
      <c r="EI1130" s="1"/>
      <c r="EJ1130" s="1"/>
      <c r="EK1130" s="1"/>
      <c r="EL1130" s="1"/>
      <c r="EM1130" s="1"/>
      <c r="EN1130" s="1"/>
      <c r="EO1130" s="1"/>
      <c r="EP1130" s="1"/>
      <c r="EQ1130" s="1"/>
      <c r="ER1130" s="1"/>
      <c r="ES1130" s="1"/>
      <c r="ET1130" s="1"/>
      <c r="EU1130" s="1"/>
      <c r="EV1130" s="1"/>
      <c r="EW1130" s="1"/>
      <c r="EX1130" s="1"/>
      <c r="EY1130" s="1"/>
      <c r="EZ1130" s="1"/>
      <c r="FA1130" s="1"/>
      <c r="FB1130" s="1"/>
      <c r="FC1130" s="1"/>
      <c r="FD1130" s="1"/>
      <c r="FE1130" s="1"/>
      <c r="FF1130" s="1"/>
      <c r="FG1130" s="1"/>
      <c r="FH1130" s="1"/>
      <c r="FI1130" s="1"/>
      <c r="FJ1130" s="1"/>
      <c r="FK1130" s="1"/>
      <c r="FL1130" s="1"/>
      <c r="FM1130" s="1"/>
      <c r="FN1130" s="1"/>
      <c r="FO1130" s="1"/>
      <c r="FP1130" s="1"/>
      <c r="FQ1130" s="1"/>
      <c r="FR1130" s="1"/>
      <c r="FS1130" s="1"/>
      <c r="FT1130" s="1"/>
      <c r="FU1130" s="1"/>
      <c r="FV1130" s="1"/>
      <c r="FW1130" s="1"/>
      <c r="FX1130" s="1"/>
      <c r="FY1130" s="1"/>
      <c r="FZ1130" s="1"/>
      <c r="GA1130" s="1"/>
      <c r="GB1130" s="1"/>
      <c r="GC1130" s="1"/>
      <c r="GD1130" s="1"/>
      <c r="GE1130" s="1"/>
      <c r="GF1130" s="1"/>
      <c r="GG1130" s="1"/>
      <c r="GH1130" s="1"/>
      <c r="GI1130" s="1"/>
      <c r="GJ1130" s="1"/>
      <c r="GK1130" s="1"/>
      <c r="GL1130" s="1"/>
      <c r="GM1130" s="1"/>
      <c r="GN1130" s="1"/>
      <c r="GO1130" s="1"/>
      <c r="GP1130" s="1"/>
      <c r="GQ1130" s="1"/>
      <c r="GR1130" s="1"/>
      <c r="GS1130" s="1"/>
      <c r="GT1130" s="1"/>
      <c r="GU1130" s="1"/>
      <c r="GV1130" s="1"/>
      <c r="GW1130" s="1"/>
      <c r="GX1130" s="1"/>
      <c r="GY1130" s="1"/>
      <c r="GZ1130" s="1"/>
      <c r="HA1130" s="1"/>
      <c r="HB1130" s="1"/>
      <c r="HC1130" s="1"/>
      <c r="HD1130" s="1"/>
      <c r="HE1130" s="1"/>
      <c r="HF1130" s="1"/>
      <c r="HG1130" s="1"/>
      <c r="HH1130" s="1"/>
      <c r="HI1130" s="1"/>
      <c r="HJ1130" s="1"/>
      <c r="HK1130" s="1"/>
      <c r="HL1130" s="1"/>
      <c r="HM1130" s="1"/>
      <c r="HN1130" s="1"/>
      <c r="HO1130" s="1"/>
      <c r="HP1130" s="1"/>
      <c r="HQ1130" s="1"/>
      <c r="HR1130" s="1"/>
      <c r="HS1130" s="1"/>
      <c r="HT1130" s="1"/>
      <c r="HU1130" s="1"/>
      <c r="HV1130" s="1"/>
      <c r="HW1130" s="1"/>
      <c r="HX1130" s="1"/>
      <c r="HY1130" s="1"/>
      <c r="HZ1130" s="1"/>
      <c r="IA1130" s="1"/>
      <c r="IB1130" s="1"/>
      <c r="IC1130" s="1"/>
      <c r="ID1130" s="1"/>
      <c r="IE1130" s="1"/>
      <c r="IF1130" s="1"/>
      <c r="IG1130" s="1"/>
      <c r="IH1130" s="1"/>
      <c r="II1130" s="1"/>
      <c r="IJ1130" s="1"/>
      <c r="IK1130" s="1"/>
      <c r="IL1130" s="1"/>
      <c r="IM1130" s="1"/>
      <c r="IN1130" s="1"/>
      <c r="IO1130" s="1"/>
      <c r="IP1130" s="1"/>
      <c r="IQ1130" s="1"/>
      <c r="IR1130" s="1"/>
      <c r="IS1130" s="1"/>
      <c r="IT1130" s="1"/>
      <c r="IU1130" s="1"/>
      <c r="IV1130" s="1"/>
      <c r="IW1130" s="1"/>
      <c r="IX1130" s="1"/>
      <c r="IY1130" s="1"/>
      <c r="IZ1130" s="1"/>
      <c r="JA1130" s="1"/>
      <c r="JB1130" s="1"/>
      <c r="JC1130" s="1"/>
      <c r="JD1130" s="1"/>
      <c r="JE1130" s="1"/>
      <c r="JF1130" s="1"/>
      <c r="JG1130" s="1"/>
      <c r="JH1130" s="1"/>
      <c r="JI1130" s="1"/>
      <c r="JJ1130" s="1"/>
      <c r="JK1130" s="1"/>
      <c r="JL1130" s="1"/>
      <c r="JM1130" s="1"/>
      <c r="JN1130" s="1"/>
      <c r="JO1130" s="1"/>
      <c r="JP1130" s="1"/>
      <c r="JQ1130" s="1"/>
      <c r="JR1130" s="1"/>
      <c r="JS1130" s="1"/>
      <c r="JT1130" s="1"/>
      <c r="JU1130" s="1"/>
      <c r="JV1130" s="1"/>
    </row>
    <row r="1131" spans="1:282">
      <c r="A1131" s="1"/>
      <c r="B1131" s="1"/>
      <c r="C1131" s="1"/>
      <c r="D1131" s="1"/>
      <c r="E1131" s="1"/>
      <c r="F1131" s="36"/>
      <c r="G1131" s="36"/>
      <c r="H1131" s="1"/>
      <c r="I1131" s="1"/>
      <c r="J1131" s="1"/>
      <c r="L1131" s="1"/>
      <c r="M1131" s="1"/>
      <c r="N1131" s="1"/>
      <c r="O1131" s="1"/>
      <c r="P1131" s="1"/>
      <c r="Q1131" s="1"/>
      <c r="R1131" s="1"/>
      <c r="S1131" s="1"/>
      <c r="T1131" s="1"/>
      <c r="U1131" s="1"/>
      <c r="V1131" s="1"/>
      <c r="W1131" s="1"/>
      <c r="X1131" s="1"/>
      <c r="Y1131" s="1"/>
      <c r="Z1131" s="1"/>
      <c r="AA1131" s="1"/>
      <c r="AB1131" s="1"/>
      <c r="AC1131" s="1"/>
      <c r="AD1131" s="1"/>
      <c r="AE1131" s="1"/>
      <c r="AF1131" s="1"/>
      <c r="AG1131" s="1"/>
      <c r="AH1131" s="1"/>
      <c r="AI1131" s="1"/>
      <c r="AJ1131" s="1"/>
      <c r="AK1131" s="1"/>
      <c r="AL1131" s="1"/>
      <c r="AM1131" s="1"/>
      <c r="AN1131" s="1"/>
      <c r="AO1131" s="1"/>
      <c r="AP1131" s="1"/>
      <c r="AQ1131" s="1"/>
      <c r="AR1131" s="1"/>
      <c r="AS1131" s="1"/>
      <c r="AT1131" s="1"/>
      <c r="AU1131" s="1"/>
      <c r="AV1131" s="1"/>
      <c r="AW1131" s="1"/>
      <c r="AX1131" s="1"/>
      <c r="AY1131" s="1"/>
      <c r="AZ1131" s="1"/>
      <c r="BA1131" s="1"/>
      <c r="BB1131" s="1"/>
      <c r="BC1131" s="1"/>
      <c r="BD1131" s="1"/>
      <c r="BE1131" s="1"/>
      <c r="BF1131" s="1"/>
      <c r="BG1131" s="1"/>
      <c r="BH1131" s="1"/>
      <c r="BI1131" s="1"/>
      <c r="BJ1131" s="1"/>
      <c r="BK1131" s="1"/>
      <c r="BL1131" s="1"/>
      <c r="BM1131" s="1"/>
      <c r="BN1131" s="1"/>
      <c r="BO1131" s="1"/>
      <c r="BP1131" s="1"/>
      <c r="BQ1131" s="1"/>
      <c r="BR1131" s="1"/>
      <c r="BS1131" s="1"/>
      <c r="BT1131" s="1"/>
      <c r="BU1131" s="1"/>
      <c r="BV1131" s="1"/>
      <c r="BW1131" s="1"/>
      <c r="BX1131" s="1"/>
      <c r="BY1131" s="1"/>
      <c r="BZ1131" s="1"/>
      <c r="CA1131" s="1"/>
      <c r="CB1131" s="1"/>
      <c r="CC1131" s="1"/>
      <c r="CD1131" s="1"/>
      <c r="CE1131" s="1"/>
      <c r="CF1131" s="1"/>
      <c r="CG1131" s="1"/>
      <c r="CH1131" s="1"/>
      <c r="CI1131" s="1"/>
      <c r="CJ1131" s="1"/>
      <c r="CK1131" s="1"/>
      <c r="CL1131" s="1"/>
      <c r="CM1131" s="1"/>
      <c r="CN1131" s="1"/>
      <c r="CO1131" s="1"/>
      <c r="CP1131" s="1"/>
      <c r="CQ1131" s="1"/>
      <c r="CR1131" s="1"/>
      <c r="CS1131" s="1"/>
      <c r="CT1131" s="1"/>
      <c r="CU1131" s="1"/>
      <c r="CV1131" s="1"/>
      <c r="CW1131" s="1"/>
      <c r="CX1131" s="1"/>
      <c r="CY1131" s="1"/>
      <c r="CZ1131" s="1"/>
      <c r="DA1131" s="1"/>
      <c r="DB1131" s="1"/>
      <c r="DC1131" s="1"/>
      <c r="DD1131" s="1"/>
      <c r="DE1131" s="1"/>
      <c r="DF1131" s="1"/>
      <c r="DG1131" s="1"/>
      <c r="DH1131" s="1"/>
      <c r="DI1131" s="1"/>
      <c r="DJ1131" s="1"/>
      <c r="DK1131" s="1"/>
      <c r="DL1131" s="1"/>
      <c r="DM1131" s="1"/>
      <c r="DN1131" s="1"/>
      <c r="DO1131" s="1"/>
      <c r="DP1131" s="1"/>
      <c r="DQ1131" s="1"/>
      <c r="DR1131" s="1"/>
      <c r="DS1131" s="1"/>
      <c r="DT1131" s="1"/>
      <c r="DU1131" s="1"/>
      <c r="DV1131" s="1"/>
      <c r="DW1131" s="1"/>
      <c r="DX1131" s="1"/>
      <c r="DY1131" s="1"/>
      <c r="DZ1131" s="1"/>
      <c r="EA1131" s="1"/>
      <c r="EB1131" s="1"/>
      <c r="EC1131" s="1"/>
      <c r="ED1131" s="1"/>
      <c r="EE1131" s="1"/>
      <c r="EF1131" s="1"/>
      <c r="EG1131" s="1"/>
      <c r="EH1131" s="1"/>
      <c r="EI1131" s="1"/>
      <c r="EJ1131" s="1"/>
      <c r="EK1131" s="1"/>
      <c r="EL1131" s="1"/>
      <c r="EM1131" s="1"/>
      <c r="EN1131" s="1"/>
      <c r="EO1131" s="1"/>
      <c r="EP1131" s="1"/>
      <c r="EQ1131" s="1"/>
      <c r="ER1131" s="1"/>
      <c r="ES1131" s="1"/>
      <c r="ET1131" s="1"/>
      <c r="EU1131" s="1"/>
      <c r="EV1131" s="1"/>
      <c r="EW1131" s="1"/>
      <c r="EX1131" s="1"/>
      <c r="EY1131" s="1"/>
      <c r="EZ1131" s="1"/>
      <c r="FA1131" s="1"/>
      <c r="FB1131" s="1"/>
      <c r="FC1131" s="1"/>
      <c r="FD1131" s="1"/>
      <c r="FE1131" s="1"/>
      <c r="FF1131" s="1"/>
      <c r="FG1131" s="1"/>
      <c r="FH1131" s="1"/>
      <c r="FI1131" s="1"/>
      <c r="FJ1131" s="1"/>
      <c r="FK1131" s="1"/>
      <c r="FL1131" s="1"/>
      <c r="FM1131" s="1"/>
      <c r="FN1131" s="1"/>
      <c r="FO1131" s="1"/>
      <c r="FP1131" s="1"/>
      <c r="FQ1131" s="1"/>
      <c r="FR1131" s="1"/>
      <c r="FS1131" s="1"/>
      <c r="FT1131" s="1"/>
      <c r="FU1131" s="1"/>
      <c r="FV1131" s="1"/>
      <c r="FW1131" s="1"/>
      <c r="FX1131" s="1"/>
      <c r="FY1131" s="1"/>
      <c r="FZ1131" s="1"/>
      <c r="GA1131" s="1"/>
      <c r="GB1131" s="1"/>
      <c r="GC1131" s="1"/>
      <c r="GD1131" s="1"/>
      <c r="GE1131" s="1"/>
      <c r="GF1131" s="1"/>
      <c r="GG1131" s="1"/>
      <c r="GH1131" s="1"/>
      <c r="GI1131" s="1"/>
      <c r="GJ1131" s="1"/>
      <c r="GK1131" s="1"/>
      <c r="GL1131" s="1"/>
      <c r="GM1131" s="1"/>
      <c r="GN1131" s="1"/>
      <c r="GO1131" s="1"/>
      <c r="GP1131" s="1"/>
      <c r="GQ1131" s="1"/>
      <c r="GR1131" s="1"/>
      <c r="GS1131" s="1"/>
      <c r="GT1131" s="1"/>
      <c r="GU1131" s="1"/>
      <c r="GV1131" s="1"/>
      <c r="GW1131" s="1"/>
      <c r="GX1131" s="1"/>
      <c r="GY1131" s="1"/>
      <c r="GZ1131" s="1"/>
      <c r="HA1131" s="1"/>
      <c r="HB1131" s="1"/>
      <c r="HC1131" s="1"/>
      <c r="HD1131" s="1"/>
      <c r="HE1131" s="1"/>
      <c r="HF1131" s="1"/>
      <c r="HG1131" s="1"/>
      <c r="HH1131" s="1"/>
      <c r="HI1131" s="1"/>
      <c r="HJ1131" s="1"/>
      <c r="HK1131" s="1"/>
      <c r="HL1131" s="1"/>
      <c r="HM1131" s="1"/>
      <c r="HN1131" s="1"/>
      <c r="HO1131" s="1"/>
      <c r="HP1131" s="1"/>
      <c r="HQ1131" s="1"/>
      <c r="HR1131" s="1"/>
      <c r="HS1131" s="1"/>
      <c r="HT1131" s="1"/>
      <c r="HU1131" s="1"/>
      <c r="HV1131" s="1"/>
      <c r="HW1131" s="1"/>
      <c r="HX1131" s="1"/>
      <c r="HY1131" s="1"/>
      <c r="HZ1131" s="1"/>
      <c r="IA1131" s="1"/>
      <c r="IB1131" s="1"/>
      <c r="IC1131" s="1"/>
      <c r="ID1131" s="1"/>
      <c r="IE1131" s="1"/>
      <c r="IF1131" s="1"/>
      <c r="IG1131" s="1"/>
      <c r="IH1131" s="1"/>
      <c r="II1131" s="1"/>
      <c r="IJ1131" s="1"/>
      <c r="IK1131" s="1"/>
      <c r="IL1131" s="1"/>
      <c r="IM1131" s="1"/>
      <c r="IN1131" s="1"/>
      <c r="IO1131" s="1"/>
      <c r="IP1131" s="1"/>
      <c r="IQ1131" s="1"/>
      <c r="IR1131" s="1"/>
      <c r="IS1131" s="1"/>
      <c r="IT1131" s="1"/>
      <c r="IU1131" s="1"/>
      <c r="IV1131" s="1"/>
      <c r="IW1131" s="1"/>
      <c r="IX1131" s="1"/>
      <c r="IY1131" s="1"/>
      <c r="IZ1131" s="1"/>
      <c r="JA1131" s="1"/>
      <c r="JB1131" s="1"/>
      <c r="JC1131" s="1"/>
      <c r="JD1131" s="1"/>
      <c r="JE1131" s="1"/>
      <c r="JF1131" s="1"/>
      <c r="JG1131" s="1"/>
      <c r="JH1131" s="1"/>
      <c r="JI1131" s="1"/>
      <c r="JJ1131" s="1"/>
      <c r="JK1131" s="1"/>
      <c r="JL1131" s="1"/>
      <c r="JM1131" s="1"/>
      <c r="JN1131" s="1"/>
      <c r="JO1131" s="1"/>
      <c r="JP1131" s="1"/>
      <c r="JQ1131" s="1"/>
      <c r="JR1131" s="1"/>
      <c r="JS1131" s="1"/>
      <c r="JT1131" s="1"/>
      <c r="JU1131" s="1"/>
      <c r="JV1131" s="1"/>
    </row>
    <row r="1132" spans="1:282">
      <c r="A1132" s="1"/>
      <c r="B1132" s="1"/>
      <c r="C1132" s="1"/>
      <c r="D1132" s="1"/>
      <c r="E1132" s="1"/>
      <c r="F1132" s="36"/>
      <c r="G1132" s="36"/>
      <c r="H1132" s="1"/>
      <c r="I1132" s="1"/>
      <c r="J1132" s="1"/>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c r="BH1132" s="1"/>
      <c r="BI1132" s="1"/>
      <c r="BJ1132" s="1"/>
      <c r="BK1132" s="1"/>
      <c r="BL1132" s="1"/>
      <c r="BM1132" s="1"/>
      <c r="BN1132" s="1"/>
      <c r="BO1132" s="1"/>
      <c r="BP1132" s="1"/>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c r="CM1132" s="1"/>
      <c r="CN1132" s="1"/>
      <c r="CO1132" s="1"/>
      <c r="CP1132" s="1"/>
      <c r="CQ1132" s="1"/>
      <c r="CR1132" s="1"/>
      <c r="CS1132" s="1"/>
      <c r="CT1132" s="1"/>
      <c r="CU1132" s="1"/>
      <c r="CV1132" s="1"/>
      <c r="CW1132" s="1"/>
      <c r="CX1132" s="1"/>
      <c r="CY1132" s="1"/>
      <c r="CZ1132" s="1"/>
      <c r="DA1132" s="1"/>
      <c r="DB1132" s="1"/>
      <c r="DC1132" s="1"/>
      <c r="DD1132" s="1"/>
      <c r="DE1132" s="1"/>
      <c r="DF1132" s="1"/>
      <c r="DG1132" s="1"/>
      <c r="DH1132" s="1"/>
      <c r="DI1132" s="1"/>
      <c r="DJ1132" s="1"/>
      <c r="DK1132" s="1"/>
      <c r="DL1132" s="1"/>
      <c r="DM1132" s="1"/>
      <c r="DN1132" s="1"/>
      <c r="DO1132" s="1"/>
      <c r="DP1132" s="1"/>
      <c r="DQ1132" s="1"/>
      <c r="DR1132" s="1"/>
      <c r="DS1132" s="1"/>
      <c r="DT1132" s="1"/>
      <c r="DU1132" s="1"/>
      <c r="DV1132" s="1"/>
      <c r="DW1132" s="1"/>
      <c r="DX1132" s="1"/>
      <c r="DY1132" s="1"/>
      <c r="DZ1132" s="1"/>
      <c r="EA1132" s="1"/>
      <c r="EB1132" s="1"/>
      <c r="EC1132" s="1"/>
      <c r="ED1132" s="1"/>
      <c r="EE1132" s="1"/>
      <c r="EF1132" s="1"/>
      <c r="EG1132" s="1"/>
      <c r="EH1132" s="1"/>
      <c r="EI1132" s="1"/>
      <c r="EJ1132" s="1"/>
      <c r="EK1132" s="1"/>
      <c r="EL1132" s="1"/>
      <c r="EM1132" s="1"/>
      <c r="EN1132" s="1"/>
      <c r="EO1132" s="1"/>
      <c r="EP1132" s="1"/>
      <c r="EQ1132" s="1"/>
      <c r="ER1132" s="1"/>
      <c r="ES1132" s="1"/>
      <c r="ET1132" s="1"/>
      <c r="EU1132" s="1"/>
      <c r="EV1132" s="1"/>
      <c r="EW1132" s="1"/>
      <c r="EX1132" s="1"/>
      <c r="EY1132" s="1"/>
      <c r="EZ1132" s="1"/>
      <c r="FA1132" s="1"/>
      <c r="FB1132" s="1"/>
      <c r="FC1132" s="1"/>
      <c r="FD1132" s="1"/>
      <c r="FE1132" s="1"/>
      <c r="FF1132" s="1"/>
      <c r="FG1132" s="1"/>
      <c r="FH1132" s="1"/>
      <c r="FI1132" s="1"/>
      <c r="FJ1132" s="1"/>
      <c r="FK1132" s="1"/>
      <c r="FL1132" s="1"/>
      <c r="FM1132" s="1"/>
      <c r="FN1132" s="1"/>
      <c r="FO1132" s="1"/>
      <c r="FP1132" s="1"/>
      <c r="FQ1132" s="1"/>
      <c r="FR1132" s="1"/>
      <c r="FS1132" s="1"/>
      <c r="FT1132" s="1"/>
      <c r="FU1132" s="1"/>
      <c r="FV1132" s="1"/>
      <c r="FW1132" s="1"/>
      <c r="FX1132" s="1"/>
      <c r="FY1132" s="1"/>
      <c r="FZ1132" s="1"/>
      <c r="GA1132" s="1"/>
      <c r="GB1132" s="1"/>
      <c r="GC1132" s="1"/>
      <c r="GD1132" s="1"/>
      <c r="GE1132" s="1"/>
      <c r="GF1132" s="1"/>
      <c r="GG1132" s="1"/>
      <c r="GH1132" s="1"/>
      <c r="GI1132" s="1"/>
      <c r="GJ1132" s="1"/>
      <c r="GK1132" s="1"/>
      <c r="GL1132" s="1"/>
      <c r="GM1132" s="1"/>
      <c r="GN1132" s="1"/>
      <c r="GO1132" s="1"/>
      <c r="GP1132" s="1"/>
      <c r="GQ1132" s="1"/>
      <c r="GR1132" s="1"/>
      <c r="GS1132" s="1"/>
      <c r="GT1132" s="1"/>
      <c r="GU1132" s="1"/>
      <c r="GV1132" s="1"/>
      <c r="GW1132" s="1"/>
      <c r="GX1132" s="1"/>
      <c r="GY1132" s="1"/>
      <c r="GZ1132" s="1"/>
      <c r="HA1132" s="1"/>
      <c r="HB1132" s="1"/>
      <c r="HC1132" s="1"/>
      <c r="HD1132" s="1"/>
      <c r="HE1132" s="1"/>
      <c r="HF1132" s="1"/>
      <c r="HG1132" s="1"/>
      <c r="HH1132" s="1"/>
      <c r="HI1132" s="1"/>
      <c r="HJ1132" s="1"/>
      <c r="HK1132" s="1"/>
      <c r="HL1132" s="1"/>
      <c r="HM1132" s="1"/>
      <c r="HN1132" s="1"/>
      <c r="HO1132" s="1"/>
      <c r="HP1132" s="1"/>
      <c r="HQ1132" s="1"/>
      <c r="HR1132" s="1"/>
      <c r="HS1132" s="1"/>
      <c r="HT1132" s="1"/>
      <c r="HU1132" s="1"/>
      <c r="HV1132" s="1"/>
      <c r="HW1132" s="1"/>
      <c r="HX1132" s="1"/>
      <c r="HY1132" s="1"/>
      <c r="HZ1132" s="1"/>
      <c r="IA1132" s="1"/>
      <c r="IB1132" s="1"/>
      <c r="IC1132" s="1"/>
      <c r="ID1132" s="1"/>
      <c r="IE1132" s="1"/>
      <c r="IF1132" s="1"/>
      <c r="IG1132" s="1"/>
      <c r="IH1132" s="1"/>
      <c r="II1132" s="1"/>
      <c r="IJ1132" s="1"/>
      <c r="IK1132" s="1"/>
      <c r="IL1132" s="1"/>
      <c r="IM1132" s="1"/>
      <c r="IN1132" s="1"/>
      <c r="IO1132" s="1"/>
      <c r="IP1132" s="1"/>
      <c r="IQ1132" s="1"/>
      <c r="IR1132" s="1"/>
      <c r="IS1132" s="1"/>
      <c r="IT1132" s="1"/>
      <c r="IU1132" s="1"/>
      <c r="IV1132" s="1"/>
      <c r="IW1132" s="1"/>
      <c r="IX1132" s="1"/>
      <c r="IY1132" s="1"/>
      <c r="IZ1132" s="1"/>
      <c r="JA1132" s="1"/>
      <c r="JB1132" s="1"/>
      <c r="JC1132" s="1"/>
      <c r="JD1132" s="1"/>
      <c r="JE1132" s="1"/>
      <c r="JF1132" s="1"/>
      <c r="JG1132" s="1"/>
      <c r="JH1132" s="1"/>
      <c r="JI1132" s="1"/>
      <c r="JJ1132" s="1"/>
      <c r="JK1132" s="1"/>
      <c r="JL1132" s="1"/>
      <c r="JM1132" s="1"/>
      <c r="JN1132" s="1"/>
      <c r="JO1132" s="1"/>
      <c r="JP1132" s="1"/>
      <c r="JQ1132" s="1"/>
      <c r="JR1132" s="1"/>
      <c r="JS1132" s="1"/>
      <c r="JT1132" s="1"/>
      <c r="JU1132" s="1"/>
      <c r="JV1132" s="1"/>
    </row>
  </sheetData>
  <phoneticPr fontId="3" type="noConversion"/>
  <conditionalFormatting sqref="D8:D86">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86"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defaultColWidth="10.875" defaultRowHeight="15"/>
  <cols>
    <col min="1" max="1" width="3.375" style="6" customWidth="1"/>
    <col min="2" max="2" width="88.375" style="6" customWidth="1"/>
    <col min="3" max="16384" width="10.875" style="6"/>
  </cols>
  <sheetData>
    <row r="2" spans="2:2" ht="102">
      <c r="B2" s="5" t="s">
        <v>106</v>
      </c>
    </row>
    <row r="4" spans="2:2">
      <c r="B4" s="6" t="s">
        <v>107</v>
      </c>
    </row>
  </sheetData>
  <pageMargins left="0.7" right="0.7" top="0.75" bottom="0.75" header="0.3" footer="0.3"/>
  <pageSetup orientation="portrait" horizontalDpi="0" verticalDpi="0" r:id="rId1"/>
</worksheet>
</file>

<file path=docMetadata/LabelInfo.xml><?xml version="1.0" encoding="utf-8"?>
<clbl:labelList xmlns:clbl="http://schemas.microsoft.com/office/2020/mipLabelMetadata">
  <clbl:label id="{b586fd95-a90e-488c-a32b-2c6581fc05c9}" enabled="0" method="" siteId="{b586fd95-a90e-488c-a32b-2c6581fc05c9}"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Smartsheet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Ragazhinskaya</dc:creator>
  <cp:keywords/>
  <dc:description/>
  <cp:lastModifiedBy/>
  <cp:revision/>
  <dcterms:created xsi:type="dcterms:W3CDTF">2015-02-24T20:54:23Z</dcterms:created>
  <dcterms:modified xsi:type="dcterms:W3CDTF">2025-12-02T03:43:12Z</dcterms:modified>
  <cp:category/>
  <cp:contentStatus/>
</cp:coreProperties>
</file>