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showInkAnnotation="0" autoCompressPictures="0"/>
  <mc:AlternateContent xmlns:mc="http://schemas.openxmlformats.org/markup-compatibility/2006">
    <mc:Choice Requires="x15">
      <x15ac:absPath xmlns:x15ac="http://schemas.microsoft.com/office/spreadsheetml/2010/11/ac" url="/Users/aedwards/ae/Teach/2740/251201_A8_XULA/Blizzards/"/>
    </mc:Choice>
  </mc:AlternateContent>
  <xr:revisionPtr revIDLastSave="0" documentId="8_{210A37F4-CAFC-4707-B45A-BEB832DEDBF2}" xr6:coauthVersionLast="47" xr6:coauthVersionMax="47" xr10:uidLastSave="{00000000-0000-0000-0000-000000000000}"/>
  <bookViews>
    <workbookView xWindow="3980" yWindow="1980" windowWidth="28580" windowHeight="20940" tabRatio="500" xr2:uid="{00000000-000D-0000-FFFF-FFFF00000000}"/>
  </bookViews>
  <sheets>
    <sheet name="Blizzards" sheetId="10" r:id="rId1"/>
    <sheet name="-Disclaimer-" sheetId="2" r:id="rId2"/>
  </sheets>
  <definedNames>
    <definedName name="_xlnm.Print_Area" localSheetId="0">Blizzards!$B$1:$I$65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H20" i="10"/>
  <c r="H21" i="10"/>
  <c r="H23" i="10"/>
  <c r="H34" i="10"/>
  <c r="H35" i="10"/>
  <c r="H37" i="10"/>
  <c r="H48" i="10"/>
  <c r="H49" i="10"/>
  <c r="H51" i="10"/>
  <c r="H62" i="10"/>
  <c r="H63" i="10"/>
  <c r="G50" i="10" l="1"/>
  <c r="F50" i="10"/>
  <c r="H50" i="10" s="1"/>
  <c r="G22" i="10"/>
  <c r="F22" i="10"/>
  <c r="F36" i="10"/>
  <c r="G36" i="10"/>
  <c r="G8" i="10"/>
  <c r="F8" i="10"/>
  <c r="H5" i="10"/>
  <c r="H22" i="10" l="1"/>
  <c r="H36" i="10"/>
  <c r="H8" i="10"/>
</calcChain>
</file>

<file path=xl/sharedStrings.xml><?xml version="1.0" encoding="utf-8"?>
<sst xmlns="http://schemas.openxmlformats.org/spreadsheetml/2006/main" count="84" uniqueCount="52">
  <si>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</si>
  <si>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</si>
  <si>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</si>
  <si>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</si>
  <si>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</si>
  <si>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</si>
  <si>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</si>
  <si>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</si>
  <si>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</si>
  <si>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</si>
  <si>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</si>
  <si>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</si>
  <si>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r>
      <t>Duration (</t>
    </r>
    <r>
      <rPr>
        <b/>
        <sz val="10"/>
        <color rgb="FF001033"/>
        <rFont val="Century Gothic"/>
        <family val="1"/>
      </rPr>
      <t>in days)</t>
    </r>
  </si>
  <si>
    <t>Comments</t>
  </si>
  <si>
    <t>Alina</t>
  </si>
  <si>
    <t>Not Started</t>
  </si>
  <si>
    <r>
      <rPr>
        <sz val="11"/>
        <color rgb="FFFF0000"/>
        <rFont val="Century Gothic"/>
        <family val="1"/>
      </rPr>
      <t>#</t>
    </r>
    <r>
      <rPr>
        <sz val="11"/>
        <color theme="1"/>
        <rFont val="Century Gothic"/>
        <family val="1"/>
      </rPr>
      <t xml:space="preserve"> Create profile display, schedule input, and schedule display designs</t>
    </r>
  </si>
  <si>
    <t>On Hold</t>
  </si>
  <si>
    <t>SHA 1601da9, 4ef802, 3d45638</t>
  </si>
  <si>
    <t>What is this use case's user story number?  If no user story, make sure you add this as a user story in our final sprint.</t>
  </si>
  <si>
    <t>In Progress</t>
  </si>
  <si>
    <t>Complete</t>
  </si>
  <si>
    <t>Nov 26th: 6 commits, +91, -10</t>
  </si>
  <si>
    <t xml:space="preserve">Evaluate Dr. Edwards via Class Climate </t>
  </si>
  <si>
    <t>Evaluate team using Brightspace survey</t>
  </si>
  <si>
    <t>Lonzo</t>
  </si>
  <si>
    <r>
      <rPr>
        <sz val="11"/>
        <color rgb="FFFF0000"/>
        <rFont val="Century Gothic"/>
        <family val="1"/>
      </rPr>
      <t>#</t>
    </r>
    <r>
      <rPr>
        <sz val="11"/>
        <color theme="1"/>
        <rFont val="Century Gothic"/>
        <family val="1"/>
      </rPr>
      <t xml:space="preserve"> Add pytest unit tests for Profile, Schedule, Session, Flashcards, etc.</t>
    </r>
  </si>
  <si>
    <t>SHA 45ab501, fe680ac</t>
  </si>
  <si>
    <t>Nov 26th: 29 commits, +483, -163</t>
  </si>
  <si>
    <t>Robin</t>
  </si>
  <si>
    <r>
      <rPr>
        <sz val="11"/>
        <color rgb="FFFF0000"/>
        <rFont val="Century Gothic"/>
        <family val="1"/>
      </rPr>
      <t>#</t>
    </r>
    <r>
      <rPr>
        <sz val="11"/>
        <color theme="1"/>
        <rFont val="Century Gothic"/>
        <family val="1"/>
      </rPr>
      <t xml:space="preserve"> Update README with 6 numbered, prioritized projects</t>
    </r>
  </si>
  <si>
    <t>SHA 0228979, 837cc5e</t>
  </si>
  <si>
    <t>#63 Create a driver that has an ASCII art welcome message</t>
  </si>
  <si>
    <t>SHA 56be12d2, 323162d, 9ba3910</t>
  </si>
  <si>
    <t xml:space="preserve">#64 Update driver so it randomly creates 111 student profiles and then outputs the student(s) with the longest schedule
</t>
  </si>
  <si>
    <t>SHA ddd432a, e4bdef1, ad88e06, 692794b, 361fe18</t>
  </si>
  <si>
    <t xml:space="preserve">#66 Update the driver to randomly create 33 study sessions and successively remove those sessions from any 2 randomly selected profiles 
</t>
  </si>
  <si>
    <t>SHA a32bb34, la25ea0, b5f81f1</t>
  </si>
  <si>
    <t xml:space="preserve">#65 Update the driver to randomly create 222 study sessions and then  randomly select any 2 profiles to study the same study sessions
</t>
  </si>
  <si>
    <t>SHA 9a0006e, bb3955c, 2a65b0c</t>
  </si>
  <si>
    <t xml:space="preserve">#78 As a developer,  I want to identify and comment-out failing unit tests in the tests directory, so that the tests run to completion.
</t>
  </si>
  <si>
    <t>SHA 9e97b3f, 0ef341, 86b03dc</t>
  </si>
  <si>
    <t xml:space="preserve">#79As a developer, I want to identify and comment-out any code in my driver that causes it to not print the start and end of the driver successfully to verify that the code can build and run in the CLI
</t>
  </si>
  <si>
    <t>SHA</t>
  </si>
  <si>
    <t xml:space="preserve">#80 As a developer, I want to finish writing and organizing the Software Design Document (SDD), so that viewers of the repo have a reference for system architecture, class diagrams, workflows, and design decisions.
</t>
  </si>
  <si>
    <t>Nov 26th: 36 commits, +337, -250</t>
  </si>
  <si>
    <t>Samuel</t>
  </si>
  <si>
    <r>
      <rPr>
        <sz val="11"/>
        <color rgb="FFFF0000"/>
        <rFont val="Century Gothic"/>
        <family val="1"/>
      </rPr>
      <t>#</t>
    </r>
    <r>
      <rPr>
        <sz val="11"/>
        <color theme="1"/>
        <rFont val="Century Gothic"/>
        <family val="1"/>
      </rPr>
      <t xml:space="preserve"> create AutoCancelJob, FlashcardGenerator, InviteLogic, Profile, StudySession classes</t>
    </r>
  </si>
  <si>
    <t>SHA d926e23, 10b580f</t>
  </si>
  <si>
    <t>Nov 26th: 30 commits, +461, -122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</si>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</sst>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9">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cellXfs>
  <cellStyles count="6">
    <cellStyle name="Followed Hyperlink" xfId="4" builtinId="9" hidden="1"/>
    <cellStyle name="Followed Hyperlink" xfId="3" builtinId="9" hidden="1"/>
    <cellStyle name="Followed Hyperlink" xfId="2"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Blizzards!$F$7</c:f>
              <c:strCache>
                <c:ptCount val="1"/>
                <c:pt idx="0">
                  <c:v>Start Date</c:v>
                </c:pt>
              </c:strCache>
            </c:strRef>
          </c:tx>
          <c:spPr>
            <a:noFill/>
            <a:ln>
              <a:noFill/>
            </a:ln>
            <a:effectLst/>
          </c:spPr>
          <c:invertIfNegative val="0"/>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30">
                  <c:v>#63 Create a driver that has an ASCII art welcome message</c:v>
                </c:pt>
                <c:pt idx="31">
                  <c:v>#64 Update driver so it randomly creates 111 student profiles and then outputs the student(s) with the longest schedule
</c:v>
                </c:pt>
                <c:pt idx="32">
                  <c:v>#66 Update the driver to randomly create 33 study sessions and successively remove those sessions from any 2 randomly selected profiles 
</c:v>
                </c:pt>
                <c:pt idx="33">
                  <c:v>#65 Update the driver to randomly create 222 study sessions and then  randomly select any 2 profiles to study the same study sessions
</c:v>
                </c:pt>
                <c:pt idx="34">
                  <c:v>#78 As a developer,  I want to identify and comment-out failing unit tests in the tests directory, so that the tests run to completion.
</c:v>
                </c:pt>
                <c:pt idx="35">
                  <c:v>#79As a developer, I want to identify and comment-out any code in my driver that causes it to not print the start and end of the driver successfully to verify that the code can build and run in the CLI
</c:v>
                </c:pt>
                <c:pt idx="36">
                  <c:v>#80 As a developer, I want to finish writing and organizing the Software Design Document (SDD), so that viewers of the repo have a reference for system architecture, class diagrams, workflows, and design decisions.
</c:v>
                </c:pt>
                <c:pt idx="40">
                  <c:v>Evaluate Dr. Edwards via Class Climate </c:v>
                </c:pt>
                <c:pt idx="41">
                  <c:v>Evaluate team using Brightspace survey</c:v>
                </c:pt>
                <c:pt idx="42">
                  <c:v>Samuel</c:v>
                </c:pt>
                <c:pt idx="43">
                  <c:v># create AutoCancelJob, FlashcardGenerator, InviteLogic, Profile, StudySession classes</c:v>
                </c:pt>
                <c:pt idx="54">
                  <c:v>Evaluate Dr. Edwards via Class Climate </c:v>
                </c:pt>
                <c:pt idx="55">
                  <c:v>Evaluate team using Brightspace survey</c:v>
                </c:pt>
              </c:strCache>
            </c:strRef>
          </c:cat>
          <c:val>
            <c:numRef>
              <c:f>Blizzards!$F$8:$F$63</c:f>
              <c:numCache>
                <c:formatCode>m/d;@</c:formatCode>
                <c:ptCount val="56"/>
                <c:pt idx="0">
                  <c:v>45983</c:v>
                </c:pt>
                <c:pt idx="1">
                  <c:v>45983</c:v>
                </c:pt>
                <c:pt idx="12">
                  <c:v>45983</c:v>
                </c:pt>
                <c:pt idx="13">
                  <c:v>45992</c:v>
                </c:pt>
                <c:pt idx="14">
                  <c:v>45978</c:v>
                </c:pt>
                <c:pt idx="15">
                  <c:v>45978</c:v>
                </c:pt>
                <c:pt idx="26">
                  <c:v>45983</c:v>
                </c:pt>
                <c:pt idx="27">
                  <c:v>45992</c:v>
                </c:pt>
                <c:pt idx="28">
                  <c:v>45983</c:v>
                </c:pt>
                <c:pt idx="29">
                  <c:v>45986</c:v>
                </c:pt>
                <c:pt idx="30">
                  <c:v>45986</c:v>
                </c:pt>
                <c:pt idx="31">
                  <c:v>45992</c:v>
                </c:pt>
                <c:pt idx="32">
                  <c:v>45986</c:v>
                </c:pt>
                <c:pt idx="33">
                  <c:v>45986</c:v>
                </c:pt>
                <c:pt idx="34">
                  <c:v>45992</c:v>
                </c:pt>
                <c:pt idx="35">
                  <c:v>45992</c:v>
                </c:pt>
                <c:pt idx="36">
                  <c:v>45992</c:v>
                </c:pt>
                <c:pt idx="40">
                  <c:v>45983</c:v>
                </c:pt>
                <c:pt idx="41">
                  <c:v>45992</c:v>
                </c:pt>
                <c:pt idx="42">
                  <c:v>45978</c:v>
                </c:pt>
                <c:pt idx="43">
                  <c:v>45978</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Blizzards!$H$7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30">
                  <c:v>#63 Create a driver that has an ASCII art welcome message</c:v>
                </c:pt>
                <c:pt idx="31">
                  <c:v>#64 Update driver so it randomly creates 111 student profiles and then outputs the student(s) with the longest schedule
</c:v>
                </c:pt>
                <c:pt idx="32">
                  <c:v>#66 Update the driver to randomly create 33 study sessions and successively remove those sessions from any 2 randomly selected profiles 
</c:v>
                </c:pt>
                <c:pt idx="33">
                  <c:v>#65 Update the driver to randomly create 222 study sessions and then  randomly select any 2 profiles to study the same study sessions
</c:v>
                </c:pt>
                <c:pt idx="34">
                  <c:v>#78 As a developer,  I want to identify and comment-out failing unit tests in the tests directory, so that the tests run to completion.
</c:v>
                </c:pt>
                <c:pt idx="35">
                  <c:v>#79As a developer, I want to identify and comment-out any code in my driver that causes it to not print the start and end of the driver successfully to verify that the code can build and run in the CLI
</c:v>
                </c:pt>
                <c:pt idx="36">
                  <c:v>#80 As a developer, I want to finish writing and organizing the Software Design Document (SDD), so that viewers of the repo have a reference for system architecture, class diagrams, workflows, and design decisions.
</c:v>
                </c:pt>
                <c:pt idx="40">
                  <c:v>Evaluate Dr. Edwards via Class Climate </c:v>
                </c:pt>
                <c:pt idx="41">
                  <c:v>Evaluate team using Brightspace survey</c:v>
                </c:pt>
                <c:pt idx="42">
                  <c:v>Samuel</c:v>
                </c:pt>
                <c:pt idx="43">
                  <c:v># create AutoCancelJob, FlashcardGenerator, InviteLogic, Profile, StudySession classes</c:v>
                </c:pt>
                <c:pt idx="54">
                  <c:v>Evaluate Dr. Edwards via Class Climate </c:v>
                </c:pt>
                <c:pt idx="55">
                  <c:v>Evaluate team using Brightspace survey</c:v>
                </c:pt>
              </c:strCache>
            </c:strRef>
          </c:cat>
          <c:val>
            <c:numRef>
              <c:f>Blizzards!$H$8:$H$63</c:f>
              <c:numCache>
                <c:formatCode>0</c:formatCode>
                <c:ptCount val="56"/>
                <c:pt idx="0">
                  <c:v>17</c:v>
                </c:pt>
                <c:pt idx="1">
                  <c:v>17</c:v>
                </c:pt>
                <c:pt idx="12">
                  <c:v>17</c:v>
                </c:pt>
                <c:pt idx="13">
                  <c:v>1</c:v>
                </c:pt>
                <c:pt idx="14">
                  <c:v>22</c:v>
                </c:pt>
                <c:pt idx="15">
                  <c:v>1</c:v>
                </c:pt>
                <c:pt idx="26">
                  <c:v>17</c:v>
                </c:pt>
                <c:pt idx="27">
                  <c:v>1</c:v>
                </c:pt>
                <c:pt idx="28" formatCode="General">
                  <c:v>17</c:v>
                </c:pt>
                <c:pt idx="29">
                  <c:v>1</c:v>
                </c:pt>
                <c:pt idx="30">
                  <c:v>1</c:v>
                </c:pt>
                <c:pt idx="40">
                  <c:v>17</c:v>
                </c:pt>
                <c:pt idx="41">
                  <c:v>1</c:v>
                </c:pt>
                <c:pt idx="42" formatCode="General">
                  <c:v>22</c:v>
                </c:pt>
                <c:pt idx="43">
                  <c:v>1</c:v>
                </c:pt>
                <c:pt idx="54">
                  <c:v>17</c:v>
                </c:pt>
                <c:pt idx="5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622300</xdr:colOff>
      <xdr:row>14</xdr:row>
      <xdr:rowOff>63500</xdr:rowOff>
    </xdr:from>
    <xdr:to>
      <xdr:col>21</xdr:col>
      <xdr:colOff>12700</xdr:colOff>
      <xdr:row>19</xdr:row>
      <xdr:rowOff>101600</xdr:rowOff>
    </xdr:to>
    <xdr:pic>
      <xdr:nvPicPr>
        <xdr:cNvPr id="3" name="Picture 2">
          <a:extLst>
            <a:ext uri="{FF2B5EF4-FFF2-40B4-BE49-F238E27FC236}">
              <a16:creationId xmlns:a16="http://schemas.microsoft.com/office/drawing/2014/main" id="{36165626-95D0-D246-A10B-8A932F5B0EE4}"/>
            </a:ext>
          </a:extLst>
        </xdr:cNvPr>
        <xdr:cNvPicPr>
          <a:picLocks noChangeAspect="1"/>
        </xdr:cNvPicPr>
      </xdr:nvPicPr>
      <xdr:blipFill>
        <a:blip xmlns:r="http://schemas.openxmlformats.org/officeDocument/2006/relationships" r:embed="rId2"/>
        <a:stretch>
          <a:fillRect/>
        </a:stretch>
      </xdr:blipFill>
      <xdr:spPr>
        <a:xfrm>
          <a:off x="16167100" y="3886200"/>
          <a:ext cx="7620000" cy="1625600"/>
        </a:xfrm>
        <a:prstGeom prst="rect">
          <a:avLst/>
        </a:prstGeom>
      </xdr:spPr>
    </xdr:pic>
    <xdr:clientData/>
  </xdr:twoCellAnchor>
  <xdr:twoCellAnchor editAs="oneCell">
    <xdr:from>
      <xdr:col>11</xdr:col>
      <xdr:colOff>622300</xdr:colOff>
      <xdr:row>39</xdr:row>
      <xdr:rowOff>76200</xdr:rowOff>
    </xdr:from>
    <xdr:to>
      <xdr:col>21</xdr:col>
      <xdr:colOff>12700</xdr:colOff>
      <xdr:row>44</xdr:row>
      <xdr:rowOff>114300</xdr:rowOff>
    </xdr:to>
    <xdr:pic>
      <xdr:nvPicPr>
        <xdr:cNvPr id="4" name="Picture 3">
          <a:extLst>
            <a:ext uri="{FF2B5EF4-FFF2-40B4-BE49-F238E27FC236}">
              <a16:creationId xmlns:a16="http://schemas.microsoft.com/office/drawing/2014/main" id="{7D161921-8BA7-604C-B375-2496F134509B}"/>
            </a:ext>
          </a:extLst>
        </xdr:cNvPr>
        <xdr:cNvPicPr>
          <a:picLocks noChangeAspect="1"/>
        </xdr:cNvPicPr>
      </xdr:nvPicPr>
      <xdr:blipFill>
        <a:blip xmlns:r="http://schemas.openxmlformats.org/officeDocument/2006/relationships" r:embed="rId3"/>
        <a:stretch>
          <a:fillRect/>
        </a:stretch>
      </xdr:blipFill>
      <xdr:spPr>
        <a:xfrm>
          <a:off x="16167100" y="10883900"/>
          <a:ext cx="7620000" cy="1625600"/>
        </a:xfrm>
        <a:prstGeom prst="rect">
          <a:avLst/>
        </a:prstGeom>
      </xdr:spPr>
    </xdr:pic>
    <xdr:clientData/>
  </xdr:twoCellAnchor>
  <xdr:twoCellAnchor editAs="oneCell">
    <xdr:from>
      <xdr:col>11</xdr:col>
      <xdr:colOff>635000</xdr:colOff>
      <xdr:row>28</xdr:row>
      <xdr:rowOff>88900</xdr:rowOff>
    </xdr:from>
    <xdr:to>
      <xdr:col>21</xdr:col>
      <xdr:colOff>25400</xdr:colOff>
      <xdr:row>33</xdr:row>
      <xdr:rowOff>127000</xdr:rowOff>
    </xdr:to>
    <xdr:pic>
      <xdr:nvPicPr>
        <xdr:cNvPr id="5" name="Picture 4">
          <a:extLst>
            <a:ext uri="{FF2B5EF4-FFF2-40B4-BE49-F238E27FC236}">
              <a16:creationId xmlns:a16="http://schemas.microsoft.com/office/drawing/2014/main" id="{9B76232B-94BB-9743-92E1-3F0E30D7DCEA}"/>
            </a:ext>
          </a:extLst>
        </xdr:cNvPr>
        <xdr:cNvPicPr>
          <a:picLocks noChangeAspect="1"/>
        </xdr:cNvPicPr>
      </xdr:nvPicPr>
      <xdr:blipFill>
        <a:blip xmlns:r="http://schemas.openxmlformats.org/officeDocument/2006/relationships" r:embed="rId4"/>
        <a:stretch>
          <a:fillRect/>
        </a:stretch>
      </xdr:blipFill>
      <xdr:spPr>
        <a:xfrm>
          <a:off x="16179800" y="7404100"/>
          <a:ext cx="7620000" cy="1625600"/>
        </a:xfrm>
        <a:prstGeom prst="rect">
          <a:avLst/>
        </a:prstGeom>
      </xdr:spPr>
    </xdr:pic>
    <xdr:clientData/>
  </xdr:twoCellAnchor>
  <xdr:twoCellAnchor editAs="oneCell">
    <xdr:from>
      <xdr:col>11</xdr:col>
      <xdr:colOff>622300</xdr:colOff>
      <xdr:row>53</xdr:row>
      <xdr:rowOff>63500</xdr:rowOff>
    </xdr:from>
    <xdr:to>
      <xdr:col>21</xdr:col>
      <xdr:colOff>12700</xdr:colOff>
      <xdr:row>58</xdr:row>
      <xdr:rowOff>101600</xdr:rowOff>
    </xdr:to>
    <xdr:pic>
      <xdr:nvPicPr>
        <xdr:cNvPr id="6" name="Picture 5">
          <a:extLst>
            <a:ext uri="{FF2B5EF4-FFF2-40B4-BE49-F238E27FC236}">
              <a16:creationId xmlns:a16="http://schemas.microsoft.com/office/drawing/2014/main" id="{78C6949F-A0CC-FD46-B6A9-5AC1A52FFDC9}"/>
            </a:ext>
          </a:extLst>
        </xdr:cNvPr>
        <xdr:cNvPicPr>
          <a:picLocks noChangeAspect="1"/>
        </xdr:cNvPicPr>
      </xdr:nvPicPr>
      <xdr:blipFill>
        <a:blip xmlns:r="http://schemas.openxmlformats.org/officeDocument/2006/relationships" r:embed="rId5"/>
        <a:stretch>
          <a:fillRect/>
        </a:stretch>
      </xdr:blipFill>
      <xdr:spPr>
        <a:xfrm>
          <a:off x="16167100" y="143637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D32" activePane="bottomLeft" state="frozen"/>
      <selection pane="bottomLeft" activeCell="I44" sqref="I44"/>
    </sheetView>
  </sheetViews>
  <sheetFormatPr defaultColWidth="11" defaultRowHeight="12.95" outlineLevelRow="1"/>
  <cols>
    <col min="1" max="1" width="3.375" style="7" customWidth="1"/>
    <col min="2" max="2" width="7.875" style="7" customWidth="1"/>
    <col min="3" max="3" width="57" style="7" bestFit="1" customWidth="1"/>
    <col min="4" max="4" width="12.875" style="7" customWidth="1"/>
    <col min="5" max="5" width="21.625" style="7" bestFit="1" customWidth="1"/>
    <col min="6" max="6" width="12.625" style="39" customWidth="1"/>
    <col min="7" max="7" width="11.875" style="39" customWidth="1"/>
    <col min="8" max="8" width="10.625" style="7" customWidth="1"/>
    <col min="9" max="9" width="63.625" style="7" customWidth="1"/>
    <col min="10" max="10" width="3.375" style="7" customWidth="1"/>
    <col min="11" max="11" width="12.875" style="7" customWidth="1"/>
    <col min="12" max="17" width="11" style="7"/>
    <col min="18" max="18" width="9" style="7" customWidth="1"/>
    <col min="19" max="22" width="11" style="7"/>
    <col min="23" max="23" width="51.875" style="7" customWidth="1"/>
    <col min="24" max="16384" width="11" style="7"/>
  </cols>
  <sheetData>
    <row r="1" spans="1:258" ht="57" customHeight="1">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1" customHeight="1" thickBot="1">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4.95" customHeight="1">
      <c r="A8" s="47"/>
      <c r="B8" s="62"/>
      <c r="C8" s="63" t="s">
        <v>14</v>
      </c>
      <c r="D8" s="25"/>
      <c r="E8" s="25"/>
      <c r="F8" s="64">
        <f>MIN(F9:F21)</f>
        <v>45983</v>
      </c>
      <c r="G8" s="65">
        <f>MAX(G9:G21)</f>
        <v>45999</v>
      </c>
      <c r="H8" s="66">
        <f>IF(F8=0,0,G8-F8)+1</f>
        <v>17</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c r="A9" s="8"/>
      <c r="B9" s="2"/>
      <c r="C9" s="14" t="s">
        <v>16</v>
      </c>
      <c r="D9" s="3" t="s">
        <v>17</v>
      </c>
      <c r="E9" s="4" t="s">
        <v>18</v>
      </c>
      <c r="F9" s="40">
        <v>45983</v>
      </c>
      <c r="G9" s="40">
        <v>45999</v>
      </c>
      <c r="H9" s="45">
        <f t="shared" ref="H9:H62" si="0">IF(OR(F9=0, ISBLANK(F9)),0,G9-F9+1)</f>
        <v>17</v>
      </c>
      <c r="I9" s="78" t="s">
        <v>19</v>
      </c>
      <c r="J9" s="8"/>
      <c r="K9" s="30" t="s">
        <v>20</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4.95" customHeight="1" outlineLevel="1">
      <c r="A10" s="8"/>
      <c r="B10" s="2"/>
      <c r="C10" s="14"/>
      <c r="D10" s="3"/>
      <c r="E10" s="4"/>
      <c r="F10" s="40"/>
      <c r="G10" s="40"/>
      <c r="H10" s="45"/>
      <c r="I10" s="2"/>
      <c r="J10" s="8"/>
      <c r="K10" s="3" t="s">
        <v>21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4.95" customHeight="1" outlineLevel="1">
      <c r="A11" s="8"/>
      <c r="B11" s="2"/>
      <c r="C11" s="14"/>
      <c r="D11" s="3"/>
      <c r="E11" s="4"/>
      <c r="F11" s="40"/>
      <c r="G11" s="40"/>
      <c r="H11" s="45"/>
      <c r="I11" s="2"/>
      <c r="J11" s="8"/>
      <c r="K11" s="12" t="s">
        <v>17</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4.95" customHeight="1" outlineLevel="1">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4.95" customHeight="1" outlineLevel="1">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4.95" customHeight="1" outlineLevel="1">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4.95" customHeight="1" outlineLevel="1">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4.95" customHeight="1" outlineLevel="1">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4.95" customHeight="1" outlineLevel="1">
      <c r="A17" s="8"/>
      <c r="B17" s="2"/>
      <c r="C17" s="14"/>
      <c r="D17" s="3"/>
      <c r="E17" s="20"/>
      <c r="F17" s="40"/>
      <c r="G17" s="40"/>
      <c r="H17" s="45"/>
      <c r="I17" s="2"/>
      <c r="J17" s="8"/>
      <c r="K17" s="1"/>
      <c r="L17" s="8"/>
      <c r="M17" s="8"/>
      <c r="N17" s="8"/>
      <c r="O17" s="8"/>
      <c r="P17" s="8"/>
      <c r="Q17" s="8"/>
      <c r="R17" s="8"/>
      <c r="S17" s="8"/>
      <c r="T17" s="8"/>
      <c r="U17" s="8"/>
      <c r="V17" s="8"/>
      <c r="W17" s="8" t="s">
        <v>22</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4.95" customHeight="1" outlineLevel="1">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4.95" customHeight="1" outlineLevel="1">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4.95" customHeight="1" outlineLevel="1">
      <c r="A20" s="8"/>
      <c r="B20" s="2"/>
      <c r="C20" s="14" t="s">
        <v>23</v>
      </c>
      <c r="D20" s="3" t="s">
        <v>15</v>
      </c>
      <c r="E20" s="13"/>
      <c r="F20" s="40">
        <v>45983</v>
      </c>
      <c r="G20" s="40">
        <v>45999</v>
      </c>
      <c r="H20" s="45">
        <f t="shared" si="0"/>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4.95" customHeight="1" outlineLevel="1" thickBot="1">
      <c r="A21" s="8"/>
      <c r="B21" s="16"/>
      <c r="C21" s="14" t="s">
        <v>24</v>
      </c>
      <c r="D21" s="15" t="s">
        <v>15</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4.95" customHeight="1">
      <c r="A22" s="47"/>
      <c r="B22" s="56"/>
      <c r="C22" s="56" t="s">
        <v>25</v>
      </c>
      <c r="D22" s="57"/>
      <c r="E22" s="58"/>
      <c r="F22" s="59">
        <f>MIN(F23:F35)</f>
        <v>45978</v>
      </c>
      <c r="G22" s="60">
        <f>MAX(G23:G35)</f>
        <v>45999</v>
      </c>
      <c r="H22" s="76">
        <f t="shared" si="0"/>
        <v>22</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c r="A23" s="8"/>
      <c r="B23" s="2"/>
      <c r="C23" s="14" t="s">
        <v>26</v>
      </c>
      <c r="D23" s="3" t="s">
        <v>17</v>
      </c>
      <c r="E23" s="13" t="s">
        <v>27</v>
      </c>
      <c r="F23" s="40">
        <v>45978</v>
      </c>
      <c r="G23" s="40">
        <v>45978</v>
      </c>
      <c r="H23" s="46">
        <f t="shared" si="0"/>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4.95" customHeight="1" outlineLevel="1">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4.95" customHeight="1" outlineLevel="1">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4.95" customHeight="1" outlineLevel="1">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4.95" customHeight="1" outlineLevel="1">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4.95" customHeight="1" outlineLevel="1">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4.95" customHeight="1" outlineLevel="1">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4.95" customHeight="1" outlineLevel="1">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4.95" customHeight="1" outlineLevel="1">
      <c r="A31" s="8"/>
      <c r="B31" s="2"/>
      <c r="C31" s="14"/>
      <c r="D31" s="3"/>
      <c r="E31" s="13"/>
      <c r="F31" s="40"/>
      <c r="G31" s="40"/>
      <c r="H31" s="46"/>
      <c r="I31" s="2"/>
      <c r="J31" s="8"/>
      <c r="K31" s="1"/>
      <c r="L31" s="8"/>
      <c r="M31" s="8"/>
      <c r="N31" s="8"/>
      <c r="O31" s="8"/>
      <c r="P31" s="8"/>
      <c r="Q31" s="8"/>
      <c r="R31" s="8"/>
      <c r="S31" s="8"/>
      <c r="T31" s="8"/>
      <c r="U31" s="8"/>
      <c r="V31" s="8"/>
      <c r="W31" s="8" t="s">
        <v>28</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4.95" customHeight="1" outlineLevel="1">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4.95" customHeight="1" outlineLevel="1">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4.95" customHeight="1" outlineLevel="1">
      <c r="A34" s="8"/>
      <c r="B34" s="2"/>
      <c r="C34" s="14" t="s">
        <v>23</v>
      </c>
      <c r="D34" s="3" t="s">
        <v>15</v>
      </c>
      <c r="E34" s="13"/>
      <c r="F34" s="40">
        <v>45983</v>
      </c>
      <c r="G34" s="40">
        <v>45999</v>
      </c>
      <c r="H34" s="46">
        <f t="shared" si="0"/>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4.95" customHeight="1" outlineLevel="1" thickBot="1">
      <c r="A35" s="8"/>
      <c r="B35" s="2"/>
      <c r="C35" s="14" t="s">
        <v>24</v>
      </c>
      <c r="D35" s="15" t="s">
        <v>15</v>
      </c>
      <c r="E35" s="17"/>
      <c r="F35" s="42">
        <v>45992</v>
      </c>
      <c r="G35" s="43">
        <v>45992</v>
      </c>
      <c r="H35" s="46">
        <f t="shared" si="0"/>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4.95" customHeight="1">
      <c r="A36" s="47"/>
      <c r="B36" s="48"/>
      <c r="C36" s="48" t="s">
        <v>29</v>
      </c>
      <c r="D36" s="49"/>
      <c r="E36" s="50"/>
      <c r="F36" s="51">
        <f>MIN(F37:F49)</f>
        <v>45983</v>
      </c>
      <c r="G36" s="52">
        <f>MAX(G37:G49)</f>
        <v>45999</v>
      </c>
      <c r="H36" s="75">
        <f t="shared" si="0"/>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7.95" customHeight="1" outlineLevel="1">
      <c r="A37" s="8"/>
      <c r="B37" s="2"/>
      <c r="C37" s="14" t="s">
        <v>30</v>
      </c>
      <c r="D37" s="3" t="s">
        <v>17</v>
      </c>
      <c r="E37" s="12" t="s">
        <v>31</v>
      </c>
      <c r="F37" s="40">
        <v>45986</v>
      </c>
      <c r="G37" s="41">
        <v>45986</v>
      </c>
      <c r="H37" s="77">
        <f t="shared" si="0"/>
        <v>1</v>
      </c>
      <c r="I37" s="78" t="s">
        <v>19</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4.95" customHeight="1" outlineLevel="1">
      <c r="A38" s="8"/>
      <c r="B38" s="2"/>
      <c r="C38" s="14" t="s">
        <v>32</v>
      </c>
      <c r="D38" s="3" t="s">
        <v>21</v>
      </c>
      <c r="E38" s="12" t="s">
        <v>33</v>
      </c>
      <c r="F38" s="40">
        <v>45986</v>
      </c>
      <c r="G38" s="40">
        <v>45986</v>
      </c>
      <c r="H38" s="77">
        <v>1</v>
      </c>
      <c r="I38" s="2">
        <v>63</v>
      </c>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4.95" customHeight="1" outlineLevel="1">
      <c r="A39" s="8"/>
      <c r="B39" s="2"/>
      <c r="C39" s="14" t="s">
        <v>34</v>
      </c>
      <c r="D39" s="3" t="s">
        <v>21</v>
      </c>
      <c r="E39" s="12" t="s">
        <v>35</v>
      </c>
      <c r="F39" s="40">
        <v>45992</v>
      </c>
      <c r="G39" s="40">
        <v>45992</v>
      </c>
      <c r="H39" s="77"/>
      <c r="I39" s="2">
        <v>64</v>
      </c>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4.95" customHeight="1" outlineLevel="1">
      <c r="A40" s="8"/>
      <c r="B40" s="2"/>
      <c r="C40" s="14" t="s">
        <v>36</v>
      </c>
      <c r="D40" s="3" t="s">
        <v>21</v>
      </c>
      <c r="E40" s="9" t="s">
        <v>37</v>
      </c>
      <c r="F40" s="40">
        <v>45986</v>
      </c>
      <c r="G40" s="40">
        <v>45986</v>
      </c>
      <c r="H40" s="77"/>
      <c r="I40" s="2">
        <v>66</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4.95" customHeight="1" outlineLevel="1">
      <c r="A41" s="8"/>
      <c r="B41" s="2"/>
      <c r="C41" s="14" t="s">
        <v>38</v>
      </c>
      <c r="D41" s="3" t="s">
        <v>21</v>
      </c>
      <c r="E41" s="12" t="s">
        <v>39</v>
      </c>
      <c r="F41" s="40">
        <v>45986</v>
      </c>
      <c r="G41" s="40">
        <v>45986</v>
      </c>
      <c r="H41" s="77"/>
      <c r="I41" s="2">
        <v>65</v>
      </c>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4.95" customHeight="1" outlineLevel="1">
      <c r="A42" s="8"/>
      <c r="B42" s="2"/>
      <c r="C42" s="14" t="s">
        <v>40</v>
      </c>
      <c r="D42" s="3" t="s">
        <v>21</v>
      </c>
      <c r="E42" s="12" t="s">
        <v>41</v>
      </c>
      <c r="F42" s="40">
        <v>45992</v>
      </c>
      <c r="G42" s="40">
        <v>45992</v>
      </c>
      <c r="H42" s="77"/>
      <c r="I42" s="2">
        <v>78</v>
      </c>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4.95" customHeight="1" outlineLevel="1">
      <c r="A43" s="8"/>
      <c r="B43" s="2"/>
      <c r="C43" s="14" t="s">
        <v>42</v>
      </c>
      <c r="D43" s="3" t="s">
        <v>21</v>
      </c>
      <c r="E43" s="12" t="s">
        <v>43</v>
      </c>
      <c r="F43" s="40">
        <v>45992</v>
      </c>
      <c r="G43" s="40">
        <v>45992</v>
      </c>
      <c r="H43" s="77"/>
      <c r="I43" s="2">
        <v>79</v>
      </c>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4.95" customHeight="1" outlineLevel="1">
      <c r="A44" s="8"/>
      <c r="B44" s="2"/>
      <c r="C44" s="14" t="s">
        <v>44</v>
      </c>
      <c r="D44" s="3" t="s">
        <v>21</v>
      </c>
      <c r="E44" s="12" t="s">
        <v>43</v>
      </c>
      <c r="F44" s="40">
        <v>45992</v>
      </c>
      <c r="G44" s="40">
        <v>45992</v>
      </c>
      <c r="H44" s="77"/>
      <c r="I44" s="2">
        <v>80</v>
      </c>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4.95" customHeight="1" outlineLevel="1">
      <c r="A45" s="8"/>
      <c r="B45" s="2"/>
      <c r="C45" s="14"/>
      <c r="D45" s="3"/>
      <c r="E45" s="12"/>
      <c r="F45" s="40"/>
      <c r="G45" s="40"/>
      <c r="H45" s="77"/>
      <c r="I45" s="2"/>
      <c r="J45" s="8"/>
      <c r="K45" s="1"/>
      <c r="L45" s="8"/>
      <c r="M45" s="8"/>
      <c r="N45" s="8"/>
      <c r="O45" s="8"/>
      <c r="P45" s="8"/>
      <c r="Q45" s="8"/>
      <c r="R45" s="8"/>
      <c r="S45" s="8"/>
      <c r="T45" s="8"/>
      <c r="U45" s="8"/>
      <c r="V45" s="8"/>
      <c r="W45" s="8" t="s">
        <v>45</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4.95" customHeight="1" outlineLevel="1">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4.95" customHeight="1" outlineLevel="1">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4.95" customHeight="1" outlineLevel="1">
      <c r="A48" s="8"/>
      <c r="B48" s="2"/>
      <c r="C48" s="14" t="s">
        <v>23</v>
      </c>
      <c r="D48" s="3" t="s">
        <v>21</v>
      </c>
      <c r="E48" s="13"/>
      <c r="F48" s="40">
        <v>45983</v>
      </c>
      <c r="G48" s="40">
        <v>45999</v>
      </c>
      <c r="H48" s="77">
        <f t="shared" si="0"/>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4.95" customHeight="1" outlineLevel="1" thickBot="1">
      <c r="A49" s="8"/>
      <c r="B49" s="16"/>
      <c r="C49" s="14" t="s">
        <v>24</v>
      </c>
      <c r="D49" s="15" t="s">
        <v>15</v>
      </c>
      <c r="E49" s="17"/>
      <c r="F49" s="42">
        <v>45992</v>
      </c>
      <c r="G49" s="43">
        <v>45992</v>
      </c>
      <c r="H49" s="77">
        <f t="shared" si="0"/>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4.95" customHeight="1">
      <c r="A50" s="47"/>
      <c r="B50" s="68"/>
      <c r="C50" s="68" t="s">
        <v>46</v>
      </c>
      <c r="D50" s="69"/>
      <c r="E50" s="70"/>
      <c r="F50" s="71">
        <f>MIN(F51:F63)</f>
        <v>45978</v>
      </c>
      <c r="G50" s="72">
        <f>MAX(G51:G63)</f>
        <v>45999</v>
      </c>
      <c r="H50" s="74">
        <f t="shared" si="0"/>
        <v>22</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33" customHeight="1" outlineLevel="1">
      <c r="A51" s="8"/>
      <c r="B51" s="2"/>
      <c r="C51" s="14" t="s">
        <v>47</v>
      </c>
      <c r="D51" s="3" t="s">
        <v>17</v>
      </c>
      <c r="E51" s="13" t="s">
        <v>48</v>
      </c>
      <c r="F51" s="40">
        <v>45978</v>
      </c>
      <c r="G51" s="40">
        <v>45978</v>
      </c>
      <c r="H51" s="33">
        <f t="shared" si="0"/>
        <v>1</v>
      </c>
      <c r="I51" s="78" t="s">
        <v>19</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4.95" customHeight="1" outlineLevel="1">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4.95" customHeight="1" outlineLevel="1">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4.95" customHeight="1" outlineLevel="1">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4.95" customHeight="1" outlineLevel="1">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4.95" customHeight="1" outlineLevel="1">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4.95" customHeight="1" outlineLevel="1">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4.95" customHeight="1" outlineLevel="1">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4.95" customHeight="1" outlineLevel="1">
      <c r="A59" s="8"/>
      <c r="B59" s="2"/>
      <c r="C59" s="14"/>
      <c r="D59" s="3"/>
      <c r="E59" s="13"/>
      <c r="F59" s="40"/>
      <c r="G59" s="40"/>
      <c r="H59" s="33"/>
      <c r="I59" s="2"/>
      <c r="J59" s="8"/>
      <c r="K59" s="1"/>
      <c r="L59" s="8"/>
      <c r="M59" s="8"/>
      <c r="N59" s="8"/>
      <c r="O59" s="8"/>
      <c r="P59" s="8"/>
      <c r="Q59" s="8"/>
      <c r="R59" s="8"/>
      <c r="S59" s="8"/>
      <c r="T59" s="8"/>
      <c r="U59" s="8"/>
      <c r="V59" s="8"/>
      <c r="W59" s="44" t="s">
        <v>49</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4.95" customHeight="1" outlineLevel="1">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4.95" customHeight="1" outlineLevel="1">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4.95" customHeight="1" outlineLevel="1">
      <c r="A62" s="8"/>
      <c r="B62" s="2"/>
      <c r="C62" s="14" t="s">
        <v>23</v>
      </c>
      <c r="D62" s="3" t="s">
        <v>15</v>
      </c>
      <c r="E62" s="13"/>
      <c r="F62" s="40">
        <v>45983</v>
      </c>
      <c r="G62" s="40">
        <v>45999</v>
      </c>
      <c r="H62" s="33">
        <f t="shared" si="0"/>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4.95" customHeight="1" outlineLevel="1" thickBot="1">
      <c r="A63" s="8"/>
      <c r="B63" s="16"/>
      <c r="C63" s="14" t="s">
        <v>24</v>
      </c>
      <c r="D63" s="15" t="s">
        <v>15</v>
      </c>
      <c r="E63" s="17"/>
      <c r="F63" s="42">
        <v>45992</v>
      </c>
      <c r="G63" s="43">
        <v>45992</v>
      </c>
      <c r="H63" s="33">
        <f t="shared" ref="H63" si="1">IF(OR(F63=0, ISBLANK(F63)),0,G63-F63+1)</f>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875" defaultRowHeight="15"/>
  <cols>
    <col min="1" max="1" width="3.375" style="6" customWidth="1"/>
    <col min="2" max="2" width="88.375" style="6" customWidth="1"/>
    <col min="3" max="16384" width="10.875" style="6"/>
  </cols>
  <sheetData>
    <row r="2" spans="2:2" ht="102">
      <c r="B2" s="5" t="s">
        <v>50</v>
      </c>
    </row>
    <row r="4" spans="2:2">
      <c r="B4" s="6" t="s">
        <v>51</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2015-02-24T20:54:23Z</dcterms:created>
  <dcterms:modified xsi:type="dcterms:W3CDTF">2025-12-02T04:32:39Z</dcterms:modified>
  <cp:category/>
  <cp:contentStatus/>
</cp:coreProperties>
</file>